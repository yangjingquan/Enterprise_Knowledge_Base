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Cache/pivotCacheRecords5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9200" windowHeight="7130"/>
  </bookViews>
  <sheets>
    <sheet name="年龄" sheetId="8" r:id="rId1"/>
    <sheet name="新客率" sheetId="1" r:id="rId2"/>
    <sheet name="年龄底表" sheetId="2" state="hidden" r:id="rId3"/>
    <sheet name="男女比例" sheetId="3" r:id="rId4"/>
    <sheet name="有无社保" sheetId="4" r:id="rId5"/>
    <sheet name="给谁买" sheetId="5" r:id="rId6"/>
    <sheet name="城市等级" sheetId="6" r:id="rId7"/>
  </sheets>
  <definedNames>
    <definedName name="_xlnm._FilterDatabase" localSheetId="1" hidden="1">新客率!$A$1:$F$25</definedName>
    <definedName name="_xlnm._FilterDatabase" localSheetId="6" hidden="1">城市等级!$A$1:$D$142</definedName>
  </definedNames>
  <calcPr calcId="144525" concurrentCalc="0"/>
  <pivotCaches>
    <pivotCache cacheId="0" r:id="rId8"/>
    <pivotCache cacheId="1" r:id="rId9"/>
    <pivotCache cacheId="2" r:id="rId10"/>
    <pivotCache cacheId="3" r:id="rId11"/>
    <pivotCache cacheId="4" r:id="rId12"/>
  </pivotCaches>
</workbook>
</file>

<file path=xl/sharedStrings.xml><?xml version="1.0" encoding="utf-8"?>
<sst xmlns="http://schemas.openxmlformats.org/spreadsheetml/2006/main" count="2029" uniqueCount="68">
  <si>
    <t>年龄</t>
  </si>
  <si>
    <t>7月</t>
  </si>
  <si>
    <t>年龄分段</t>
  </si>
  <si>
    <t>BD_JCdx</t>
  </si>
  <si>
    <t>BD_PDTdx</t>
  </si>
  <si>
    <t>BD_RPKJ</t>
  </si>
  <si>
    <t>BD_RYdx</t>
  </si>
  <si>
    <t>BD_SMdx</t>
  </si>
  <si>
    <t>BD_WCJW</t>
  </si>
  <si>
    <t>BD_WZKJ</t>
  </si>
  <si>
    <t>BD_XYdx</t>
  </si>
  <si>
    <t>总计</t>
  </si>
  <si>
    <t>0-25</t>
  </si>
  <si>
    <t>26-30</t>
  </si>
  <si>
    <t>31-35</t>
  </si>
  <si>
    <t>36-40</t>
  </si>
  <si>
    <t>40-45</t>
  </si>
  <si>
    <t>46-50</t>
  </si>
  <si>
    <t>51-55</t>
  </si>
  <si>
    <t>56-60</t>
  </si>
  <si>
    <t>61-65</t>
  </si>
  <si>
    <t>66-70</t>
  </si>
  <si>
    <t>71-75</t>
  </si>
  <si>
    <t>76-80</t>
  </si>
  <si>
    <t>8月</t>
  </si>
  <si>
    <t>81-85</t>
  </si>
  <si>
    <t>9月</t>
  </si>
  <si>
    <t>7月-9月</t>
  </si>
  <si>
    <t>求和项:订单数</t>
  </si>
  <si>
    <t>渠道</t>
  </si>
  <si>
    <t>巨灿</t>
  </si>
  <si>
    <t>保呗（智能）</t>
  </si>
  <si>
    <t>瑞鹏</t>
  </si>
  <si>
    <t>瑞翼</t>
  </si>
  <si>
    <t>数鸣</t>
  </si>
  <si>
    <t>聚蔚</t>
  </si>
  <si>
    <t>王炸</t>
  </si>
  <si>
    <t>新元（智能）</t>
  </si>
  <si>
    <t>订单数</t>
  </si>
  <si>
    <t>新订单数</t>
  </si>
  <si>
    <t>新客率</t>
  </si>
  <si>
    <t>insu_gender</t>
  </si>
  <si>
    <t>social_ins_flag</t>
  </si>
  <si>
    <t>rel_type</t>
  </si>
  <si>
    <t>男</t>
  </si>
  <si>
    <t>女</t>
  </si>
  <si>
    <t>register_city_class</t>
  </si>
  <si>
    <t>二线城市</t>
  </si>
  <si>
    <t>三线城市</t>
  </si>
  <si>
    <t>四线城市</t>
  </si>
  <si>
    <t>五线城市</t>
  </si>
  <si>
    <t>新一线城市</t>
  </si>
  <si>
    <t>一线城市</t>
  </si>
  <si>
    <t>月份</t>
  </si>
  <si>
    <t>短险新客率</t>
  </si>
  <si>
    <t>三期续费率</t>
  </si>
  <si>
    <t>2020-07</t>
  </si>
  <si>
    <t>2020-08</t>
  </si>
  <si>
    <t>2020-09</t>
  </si>
  <si>
    <t>66%-68%</t>
  </si>
  <si>
    <t>求和项:新订单数</t>
  </si>
  <si>
    <t>求和项:新客率</t>
  </si>
  <si>
    <t>72%-74%</t>
  </si>
  <si>
    <t>订单量</t>
  </si>
  <si>
    <t>新用户订单数</t>
  </si>
  <si>
    <t>(全部)</t>
  </si>
  <si>
    <t>是否有社保，1是，0否</t>
  </si>
  <si>
    <t>(关系类型 1本人 2配偶 3父母 4子女)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</si>
</sst>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.0%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0.5"/>
      <color rgb="FF6A9955"/>
      <name val="Consolas"/>
      <charset val="134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/>
      <right/>
      <top style="thin">
        <color theme="4" tint="0.399975585192419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8" borderId="8" applyNumberFormat="0" applyFon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7" fillId="27" borderId="9" applyNumberFormat="0" applyAlignment="0" applyProtection="0">
      <alignment vertical="center"/>
    </xf>
    <xf numFmtId="0" fontId="20" fillId="27" borderId="3" applyNumberFormat="0" applyAlignment="0" applyProtection="0">
      <alignment vertical="center"/>
    </xf>
    <xf numFmtId="0" fontId="21" fillId="29" borderId="10" applyNumberForma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10" fontId="0" fillId="0" borderId="0" xfId="0" applyNumberFormat="1"/>
    <xf numFmtId="0" fontId="1" fillId="0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176" fontId="0" fillId="0" borderId="0" xfId="11" applyNumberFormat="1" applyAlignment="1">
      <alignment horizontal="center" vertical="center"/>
    </xf>
    <xf numFmtId="9" fontId="0" fillId="0" borderId="0" xfId="0" applyNumberFormat="1" applyAlignment="1">
      <alignment horizontal="center"/>
    </xf>
    <xf numFmtId="9" fontId="0" fillId="0" borderId="0" xfId="0" applyNumberFormat="1"/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9" fontId="0" fillId="0" borderId="0" xfId="11" applyAlignment="1"/>
    <xf numFmtId="0" fontId="0" fillId="2" borderId="0" xfId="0" applyFill="1"/>
    <xf numFmtId="0" fontId="2" fillId="3" borderId="1" xfId="0" applyFont="1" applyFill="1" applyBorder="1"/>
    <xf numFmtId="0" fontId="0" fillId="0" borderId="1" xfId="0" applyBorder="1"/>
    <xf numFmtId="10" fontId="0" fillId="0" borderId="1" xfId="0" applyNumberFormat="1" applyBorder="1"/>
    <xf numFmtId="0" fontId="2" fillId="3" borderId="2" xfId="0" applyFont="1" applyFill="1" applyBorder="1"/>
    <xf numFmtId="10" fontId="2" fillId="3" borderId="2" xfId="0" applyNumberFormat="1" applyFont="1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pivotCacheDefinition" Target="pivotCache/pivotCacheDefinition5.xml"/><Relationship Id="rId11" Type="http://schemas.openxmlformats.org/officeDocument/2006/relationships/pivotCacheDefinition" Target="pivotCache/pivotCacheDefinition4.xml"/><Relationship Id="rId10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133.8748032407" refreshedBy="w" recordCount="48">
  <cacheSource type="worksheet">
    <worksheetSource ref="A1:D49" sheet="男女比例"/>
  </cacheSource>
  <cacheFields count="4">
    <cacheField name="月份" numFmtId="0">
      <sharedItems count="3">
        <s v="2020-08"/>
        <s v="2020-07"/>
        <s v="2020-09"/>
      </sharedItems>
    </cacheField>
    <cacheField name="渠道" numFmtId="0">
      <sharedItems count="8">
        <s v="BD_WZKJ"/>
        <s v="BD_WCJW"/>
        <s v="BD_RPKJ"/>
        <s v="BD_PDTdx"/>
        <s v="BD_XYdx"/>
        <s v="BD_RYdx"/>
        <s v="BD_JCdx"/>
        <s v="BD_SMdx"/>
      </sharedItems>
    </cacheField>
    <cacheField name="insu_gender" numFmtId="0">
      <sharedItems count="2">
        <s v="女"/>
        <s v="男"/>
      </sharedItems>
    </cacheField>
    <cacheField name="订单数" numFmtId="0">
      <sharedItems containsSemiMixedTypes="0" containsString="0" containsNumber="1" containsInteger="1" minValue="0" maxValue="35994" count="48">
        <n v="969"/>
        <n v="8723"/>
        <n v="697"/>
        <n v="2805"/>
        <n v="105"/>
        <n v="3775"/>
        <n v="26378"/>
        <n v="1500"/>
        <n v="17435"/>
        <n v="2247"/>
        <n v="3498"/>
        <n v="2973"/>
        <n v="1823"/>
        <n v="20638"/>
        <n v="6952"/>
        <n v="1017"/>
        <n v="19254"/>
        <n v="2375"/>
        <n v="3600"/>
        <n v="5"/>
        <n v="1143"/>
        <n v="99"/>
        <n v="8047"/>
        <n v="6662"/>
        <n v="678"/>
        <n v="2439"/>
        <n v="12336"/>
        <n v="35994"/>
        <n v="389"/>
        <n v="190"/>
        <n v="8594"/>
        <n v="6070"/>
        <n v="5260"/>
        <n v="388"/>
        <n v="17718"/>
        <n v="1364"/>
        <n v="32887"/>
        <n v="8999"/>
        <n v="7"/>
        <n v="2936"/>
        <n v="14864"/>
        <n v="753"/>
        <n v="17889"/>
        <n v="1001"/>
        <n v="231"/>
        <n v="886"/>
        <n v="1109"/>
        <n v="7378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133.8806597222" refreshedBy="w" recordCount="48">
  <cacheSource type="worksheet">
    <worksheetSource ref="A1:D49" sheet="有无社保"/>
  </cacheSource>
  <cacheFields count="4">
    <cacheField name="月份" numFmtId="0">
      <sharedItems count="3">
        <s v="2020-09"/>
        <s v="2020-08"/>
        <s v="2020-07"/>
      </sharedItems>
    </cacheField>
    <cacheField name="渠道" numFmtId="0">
      <sharedItems count="8">
        <s v="BD_WZKJ"/>
        <s v="BD_WCJW"/>
        <s v="BD_RPKJ"/>
        <s v="BD_PDTdx"/>
        <s v="BD_XYdx"/>
        <s v="BD_RYdx"/>
        <s v="BD_JCdx"/>
        <s v="BD_SMdx"/>
      </sharedItems>
    </cacheField>
    <cacheField name="social_ins_flag" numFmtId="0">
      <sharedItems containsSemiMixedTypes="0" containsString="0" containsNumber="1" containsInteger="1" minValue="0" maxValue="1" count="2">
        <n v="0"/>
        <n v="1"/>
      </sharedItems>
    </cacheField>
    <cacheField name="订单数" numFmtId="0">
      <sharedItems containsSemiMixedTypes="0" containsString="0" containsNumber="1" containsInteger="1" minValue="0" maxValue="46298" count="48">
        <n v="504"/>
        <n v="3410"/>
        <n v="3938"/>
        <n v="29818"/>
        <n v="273"/>
        <n v="2943"/>
        <n v="2913"/>
        <n v="26448"/>
        <n v="211"/>
        <n v="2861"/>
        <n v="30"/>
        <n v="174"/>
        <n v="1301"/>
        <n v="10521"/>
        <n v="652"/>
        <n v="3287"/>
        <n v="7131"/>
        <n v="46298"/>
        <n v="1334"/>
        <n v="1027"/>
        <n v="10758"/>
        <n v="8016"/>
        <n v="640"/>
        <n v="6443"/>
        <n v="2368"/>
        <n v="22302"/>
        <n v="388"/>
        <n v="1993"/>
        <n v="6635"/>
        <n v="45506"/>
        <n v="1381"/>
        <n v="2"/>
        <n v="11218"/>
        <n v="10"/>
        <n v="342"/>
        <n v="3737"/>
        <n v="2404"/>
        <n v="19122"/>
        <n v="241"/>
        <n v="1190"/>
        <n v="4369"/>
        <n v="25856"/>
        <n v="123"/>
        <n v="1267"/>
        <n v="28"/>
        <n v="393"/>
        <n v="168"/>
        <n v="1106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133.8882060185" refreshedBy="w" recordCount="95">
  <cacheSource type="worksheet">
    <worksheetSource ref="A1:D96" sheet="给谁买"/>
  </cacheSource>
  <cacheFields count="4">
    <cacheField name="月份" numFmtId="0">
      <sharedItems count="3">
        <s v="2020-09"/>
        <s v="2020-08"/>
        <s v="2020-07"/>
      </sharedItems>
    </cacheField>
    <cacheField name="渠道" numFmtId="0">
      <sharedItems count="8">
        <s v="BD_WZKJ"/>
        <s v="BD_WCJW"/>
        <s v="BD_RPKJ"/>
        <s v="BD_PDTdx"/>
        <s v="BD_XYdx"/>
        <s v="BD_RYdx"/>
        <s v="BD_JCdx"/>
        <s v="BD_SMdx"/>
      </sharedItems>
    </cacheField>
    <cacheField name="rel_type" numFmtId="0">
      <sharedItems containsSemiMixedTypes="0" containsString="0" containsNumber="1" containsInteger="1" minValue="0" maxValue="4" count="4">
        <n v="1"/>
        <n v="2"/>
        <n v="3"/>
        <n v="4"/>
      </sharedItems>
    </cacheField>
    <cacheField name="订单数" numFmtId="0">
      <sharedItems containsSemiMixedTypes="0" containsString="0" containsNumber="1" containsInteger="1" minValue="0" maxValue="48637" count="91">
        <n v="3546"/>
        <n v="267"/>
        <n v="29"/>
        <n v="72"/>
        <n v="31015"/>
        <n v="1955"/>
        <n v="306"/>
        <n v="480"/>
        <n v="2951"/>
        <n v="199"/>
        <n v="19"/>
        <n v="47"/>
        <n v="26918"/>
        <n v="1700"/>
        <n v="300"/>
        <n v="443"/>
        <n v="2904"/>
        <n v="125"/>
        <n v="11"/>
        <n v="32"/>
        <n v="141"/>
        <n v="35"/>
        <n v="13"/>
        <n v="15"/>
        <n v="10146"/>
        <n v="1073"/>
        <n v="217"/>
        <n v="386"/>
        <n v="3519"/>
        <n v="282"/>
        <n v="49"/>
        <n v="89"/>
        <n v="48637"/>
        <n v="3444"/>
        <n v="490"/>
        <n v="858"/>
        <n v="10808"/>
        <n v="7812"/>
        <n v="852"/>
        <n v="840"/>
        <n v="171"/>
        <n v="131"/>
        <n v="261"/>
        <n v="260"/>
        <n v="6686"/>
        <n v="303"/>
        <n v="36"/>
        <n v="58"/>
        <n v="23050"/>
        <n v="1201"/>
        <n v="129"/>
        <n v="290"/>
        <n v="2014"/>
        <n v="242"/>
        <n v="78"/>
        <n v="46532"/>
        <n v="4000"/>
        <n v="550"/>
        <n v="1059"/>
        <n v="11291"/>
        <n v="8"/>
        <n v="889"/>
        <n v="3"/>
        <n v="148"/>
        <n v="271"/>
        <n v="1"/>
        <n v="3862"/>
        <n v="167"/>
        <n v="17"/>
        <n v="33"/>
        <n v="19447"/>
        <n v="1469"/>
        <n v="166"/>
        <n v="444"/>
        <n v="1177"/>
        <n v="172"/>
        <n v="26"/>
        <n v="56"/>
        <n v="26544"/>
        <n v="2496"/>
        <n v="322"/>
        <n v="863"/>
        <n v="1298"/>
        <n v="65"/>
        <n v="12"/>
        <n v="394"/>
        <n v="23"/>
        <n v="1149"/>
        <n v="93"/>
        <n v="7"/>
        <n v="25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133.8901967593" refreshedBy="w" recordCount="141">
  <cacheSource type="worksheet">
    <worksheetSource ref="A1:D142" sheet="城市等级"/>
  </cacheSource>
  <cacheFields count="4">
    <cacheField name="渠道" numFmtId="0">
      <sharedItems count="8">
        <s v="BD_JCdx"/>
        <s v="BD_PDTdx"/>
        <s v="BD_RPKJ"/>
        <s v="BD_RYdx"/>
        <s v="BD_SMdx"/>
        <s v="BD_WCJW"/>
        <s v="BD_WZKJ"/>
        <s v="BD_XYdx"/>
      </sharedItems>
    </cacheField>
    <cacheField name="月份" numFmtId="0">
      <sharedItems count="3">
        <s v="2020-07"/>
        <s v="2020-08"/>
        <s v="2020-09"/>
      </sharedItems>
    </cacheField>
    <cacheField name="register_city_class" numFmtId="0">
      <sharedItems count="6">
        <s v="五线城市"/>
        <s v="二线城市"/>
        <s v="一线城市"/>
        <s v="三线城市"/>
        <s v="四线城市"/>
        <s v="新一线城市"/>
      </sharedItems>
    </cacheField>
    <cacheField name="订单数" numFmtId="0">
      <sharedItems containsSemiMixedTypes="0" containsString="0" containsNumber="1" containsInteger="1" minValue="0" maxValue="7415" count="134">
        <n v="43"/>
        <n v="44"/>
        <n v="14"/>
        <n v="38"/>
        <n v="59"/>
        <n v="74"/>
        <n v="516"/>
        <n v="564"/>
        <n v="506"/>
        <n v="299"/>
        <n v="457"/>
        <n v="188"/>
        <n v="929"/>
        <n v="893"/>
        <n v="785"/>
        <n v="522"/>
        <n v="745"/>
        <n v="358"/>
        <n v="156"/>
        <n v="216"/>
        <n v="237"/>
        <n v="197"/>
        <n v="121"/>
        <n v="105"/>
        <n v="350"/>
        <n v="213"/>
        <n v="177"/>
        <n v="275"/>
        <n v="291"/>
        <n v="332"/>
        <n v="325"/>
        <n v="470"/>
        <n v="580"/>
        <n v="463"/>
        <n v="571"/>
        <n v="2"/>
        <n v="3"/>
        <n v="1059"/>
        <n v="1082"/>
        <n v="1142"/>
        <n v="882"/>
        <n v="925"/>
        <n v="410"/>
        <n v="1382"/>
        <n v="1497"/>
        <n v="1127"/>
        <n v="1046"/>
        <n v="541"/>
        <n v="1381"/>
        <n v="159"/>
        <n v="56"/>
        <n v="32"/>
        <n v="110"/>
        <n v="194"/>
        <n v="206"/>
        <n v="1375"/>
        <n v="1393"/>
        <n v="1632"/>
        <n v="1194"/>
        <n v="1183"/>
        <n v="716"/>
        <n v="1378"/>
        <n v="1311"/>
        <n v="1447"/>
        <n v="1266"/>
        <n v="741"/>
        <n v="116"/>
        <n v="133"/>
        <n v="77"/>
        <n v="181"/>
        <n v="162"/>
        <n v="137"/>
        <n v="2992"/>
        <n v="2688"/>
        <n v="2263"/>
        <n v="1992"/>
        <n v="2342"/>
        <n v="1072"/>
        <n v="3249"/>
        <n v="3145"/>
        <n v="2722"/>
        <n v="1898"/>
        <n v="2709"/>
        <n v="1131"/>
        <n v="26"/>
        <n v="33"/>
        <n v="17"/>
        <n v="10"/>
        <n v="20"/>
        <n v="3701"/>
        <n v="3041"/>
        <n v="2207"/>
        <n v="3503"/>
        <n v="1334"/>
        <n v="4072"/>
        <n v="3705"/>
        <n v="2780"/>
        <n v="3952"/>
        <n v="1508"/>
        <n v="4372"/>
        <n v="3831"/>
        <n v="214"/>
        <n v="268"/>
        <n v="47"/>
        <n v="393"/>
        <n v="610"/>
        <n v="494"/>
        <n v="337"/>
        <n v="57"/>
        <n v="426"/>
        <n v="704"/>
        <n v="472"/>
        <n v="510"/>
        <n v="724"/>
        <n v="519"/>
        <n v="335"/>
        <n v="3197"/>
        <n v="1496"/>
        <n v="3959"/>
        <n v="4390"/>
        <n v="3269"/>
        <n v="3096"/>
        <n v="6870"/>
        <n v="7415"/>
        <n v="5041"/>
        <n v="5320"/>
        <n v="5312"/>
        <n v="2132"/>
        <n v="6616"/>
        <n v="7246"/>
        <n v="5326"/>
        <n v="4891"/>
        <n v="5580"/>
        <n v="2359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133.8939930556" refreshedBy="w" recordCount="24">
  <cacheSource type="worksheet">
    <worksheetSource ref="A1:D25" sheet="新客率"/>
  </cacheSource>
  <cacheFields count="5">
    <cacheField name="渠道" numFmtId="0">
      <sharedItems count="8">
        <s v="BD_JCdx"/>
        <s v="BD_PDTdx"/>
        <s v="BD_RPKJ"/>
        <s v="BD_RYdx"/>
        <s v="BD_SMdx"/>
        <s v="BD_WCJW"/>
        <s v="BD_WZKJ"/>
        <s v="BD_XYdx"/>
      </sharedItems>
    </cacheField>
    <cacheField name="月份" numFmtId="0">
      <sharedItems count="3">
        <s v="2020-07"/>
        <s v="2020-08"/>
        <s v="2020-09"/>
      </sharedItems>
    </cacheField>
    <cacheField name="订单数" numFmtId="0">
      <sharedItems containsSemiMixedTypes="0" containsString="0" containsNumber="1" containsInteger="1" minValue="0" maxValue="53429" count="24">
        <n v="421"/>
        <n v="4079"/>
        <n v="7083"/>
        <n v="1431"/>
        <n v="2381"/>
        <n v="3939"/>
        <n v="12"/>
        <n v="9043"/>
        <n v="11822"/>
        <n v="1390"/>
        <n v="12599"/>
        <n v="12092"/>
        <n v="1274"/>
        <n v="21526"/>
        <n v="24670"/>
        <n v="204"/>
        <n v="29361"/>
        <n v="33756"/>
        <n v="3072"/>
        <n v="3216"/>
        <n v="3914"/>
        <n v="30225"/>
        <n v="52141"/>
        <n v="53429"/>
      </sharedItems>
    </cacheField>
    <cacheField name="新订单数" numFmtId="0">
      <sharedItems containsSemiMixedTypes="0" containsString="0" containsNumber="1" containsInteger="1" minValue="0" maxValue="40461" count="24">
        <n v="379"/>
        <n v="3560"/>
        <n v="6188"/>
        <n v="976"/>
        <n v="1590"/>
        <n v="2775"/>
        <n v="6"/>
        <n v="6098"/>
        <n v="7508"/>
        <n v="1129"/>
        <n v="9571"/>
        <n v="9110"/>
        <n v="980"/>
        <n v="16464"/>
        <n v="20822"/>
        <n v="128"/>
        <n v="24798"/>
        <n v="27097"/>
        <n v="2710"/>
        <n v="2745"/>
        <n v="3084"/>
        <n v="21414"/>
        <n v="39284"/>
        <n v="40461"/>
      </sharedItems>
    </cacheField>
    <cacheField name="新客率" numFmtId="0" formula="新订单数/订单数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">
  <r>
    <x v="0"/>
    <x v="0"/>
    <x v="0"/>
    <x v="0"/>
  </r>
  <r>
    <x v="0"/>
    <x v="1"/>
    <x v="0"/>
    <x v="1"/>
  </r>
  <r>
    <x v="1"/>
    <x v="0"/>
    <x v="0"/>
    <x v="2"/>
  </r>
  <r>
    <x v="2"/>
    <x v="0"/>
    <x v="1"/>
    <x v="3"/>
  </r>
  <r>
    <x v="1"/>
    <x v="1"/>
    <x v="0"/>
    <x v="4"/>
  </r>
  <r>
    <x v="2"/>
    <x v="2"/>
    <x v="0"/>
    <x v="5"/>
  </r>
  <r>
    <x v="2"/>
    <x v="1"/>
    <x v="1"/>
    <x v="6"/>
  </r>
  <r>
    <x v="2"/>
    <x v="3"/>
    <x v="0"/>
    <x v="7"/>
  </r>
  <r>
    <x v="2"/>
    <x v="4"/>
    <x v="0"/>
    <x v="8"/>
  </r>
  <r>
    <x v="0"/>
    <x v="0"/>
    <x v="1"/>
    <x v="9"/>
  </r>
  <r>
    <x v="2"/>
    <x v="5"/>
    <x v="0"/>
    <x v="10"/>
  </r>
  <r>
    <x v="0"/>
    <x v="2"/>
    <x v="0"/>
    <x v="11"/>
  </r>
  <r>
    <x v="2"/>
    <x v="6"/>
    <x v="0"/>
    <x v="12"/>
  </r>
  <r>
    <x v="0"/>
    <x v="1"/>
    <x v="1"/>
    <x v="13"/>
  </r>
  <r>
    <x v="2"/>
    <x v="7"/>
    <x v="0"/>
    <x v="14"/>
  </r>
  <r>
    <x v="0"/>
    <x v="3"/>
    <x v="0"/>
    <x v="15"/>
  </r>
  <r>
    <x v="0"/>
    <x v="4"/>
    <x v="0"/>
    <x v="16"/>
  </r>
  <r>
    <x v="1"/>
    <x v="0"/>
    <x v="1"/>
    <x v="17"/>
  </r>
  <r>
    <x v="0"/>
    <x v="5"/>
    <x v="0"/>
    <x v="18"/>
  </r>
  <r>
    <x v="1"/>
    <x v="2"/>
    <x v="0"/>
    <x v="19"/>
  </r>
  <r>
    <x v="0"/>
    <x v="6"/>
    <x v="0"/>
    <x v="20"/>
  </r>
  <r>
    <x v="1"/>
    <x v="1"/>
    <x v="1"/>
    <x v="21"/>
  </r>
  <r>
    <x v="2"/>
    <x v="2"/>
    <x v="1"/>
    <x v="22"/>
  </r>
  <r>
    <x v="0"/>
    <x v="7"/>
    <x v="0"/>
    <x v="23"/>
  </r>
  <r>
    <x v="1"/>
    <x v="3"/>
    <x v="0"/>
    <x v="24"/>
  </r>
  <r>
    <x v="2"/>
    <x v="3"/>
    <x v="1"/>
    <x v="25"/>
  </r>
  <r>
    <x v="1"/>
    <x v="4"/>
    <x v="0"/>
    <x v="26"/>
  </r>
  <r>
    <x v="2"/>
    <x v="4"/>
    <x v="1"/>
    <x v="27"/>
  </r>
  <r>
    <x v="1"/>
    <x v="5"/>
    <x v="0"/>
    <x v="28"/>
  </r>
  <r>
    <x v="1"/>
    <x v="6"/>
    <x v="0"/>
    <x v="29"/>
  </r>
  <r>
    <x v="2"/>
    <x v="5"/>
    <x v="1"/>
    <x v="30"/>
  </r>
  <r>
    <x v="0"/>
    <x v="2"/>
    <x v="1"/>
    <x v="31"/>
  </r>
  <r>
    <x v="2"/>
    <x v="6"/>
    <x v="1"/>
    <x v="32"/>
  </r>
  <r>
    <x v="1"/>
    <x v="7"/>
    <x v="0"/>
    <x v="33"/>
  </r>
  <r>
    <x v="2"/>
    <x v="7"/>
    <x v="1"/>
    <x v="34"/>
  </r>
  <r>
    <x v="0"/>
    <x v="3"/>
    <x v="1"/>
    <x v="35"/>
  </r>
  <r>
    <x v="0"/>
    <x v="4"/>
    <x v="1"/>
    <x v="36"/>
  </r>
  <r>
    <x v="0"/>
    <x v="5"/>
    <x v="1"/>
    <x v="37"/>
  </r>
  <r>
    <x v="1"/>
    <x v="2"/>
    <x v="1"/>
    <x v="38"/>
  </r>
  <r>
    <x v="0"/>
    <x v="6"/>
    <x v="1"/>
    <x v="39"/>
  </r>
  <r>
    <x v="0"/>
    <x v="7"/>
    <x v="1"/>
    <x v="40"/>
  </r>
  <r>
    <x v="1"/>
    <x v="3"/>
    <x v="1"/>
    <x v="41"/>
  </r>
  <r>
    <x v="1"/>
    <x v="4"/>
    <x v="1"/>
    <x v="42"/>
  </r>
  <r>
    <x v="1"/>
    <x v="5"/>
    <x v="1"/>
    <x v="43"/>
  </r>
  <r>
    <x v="1"/>
    <x v="6"/>
    <x v="1"/>
    <x v="44"/>
  </r>
  <r>
    <x v="1"/>
    <x v="7"/>
    <x v="1"/>
    <x v="45"/>
  </r>
  <r>
    <x v="2"/>
    <x v="0"/>
    <x v="0"/>
    <x v="46"/>
  </r>
  <r>
    <x v="2"/>
    <x v="1"/>
    <x v="0"/>
    <x v="4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8">
  <r>
    <x v="0"/>
    <x v="0"/>
    <x v="0"/>
    <x v="0"/>
  </r>
  <r>
    <x v="0"/>
    <x v="0"/>
    <x v="1"/>
    <x v="1"/>
  </r>
  <r>
    <x v="0"/>
    <x v="1"/>
    <x v="0"/>
    <x v="2"/>
  </r>
  <r>
    <x v="0"/>
    <x v="1"/>
    <x v="1"/>
    <x v="3"/>
  </r>
  <r>
    <x v="1"/>
    <x v="0"/>
    <x v="0"/>
    <x v="4"/>
  </r>
  <r>
    <x v="1"/>
    <x v="0"/>
    <x v="1"/>
    <x v="5"/>
  </r>
  <r>
    <x v="1"/>
    <x v="1"/>
    <x v="0"/>
    <x v="6"/>
  </r>
  <r>
    <x v="1"/>
    <x v="1"/>
    <x v="1"/>
    <x v="7"/>
  </r>
  <r>
    <x v="2"/>
    <x v="0"/>
    <x v="0"/>
    <x v="8"/>
  </r>
  <r>
    <x v="2"/>
    <x v="0"/>
    <x v="1"/>
    <x v="9"/>
  </r>
  <r>
    <x v="2"/>
    <x v="1"/>
    <x v="0"/>
    <x v="10"/>
  </r>
  <r>
    <x v="2"/>
    <x v="1"/>
    <x v="1"/>
    <x v="11"/>
  </r>
  <r>
    <x v="0"/>
    <x v="2"/>
    <x v="0"/>
    <x v="12"/>
  </r>
  <r>
    <x v="0"/>
    <x v="2"/>
    <x v="1"/>
    <x v="13"/>
  </r>
  <r>
    <x v="0"/>
    <x v="3"/>
    <x v="0"/>
    <x v="14"/>
  </r>
  <r>
    <x v="0"/>
    <x v="3"/>
    <x v="1"/>
    <x v="15"/>
  </r>
  <r>
    <x v="0"/>
    <x v="4"/>
    <x v="0"/>
    <x v="16"/>
  </r>
  <r>
    <x v="0"/>
    <x v="4"/>
    <x v="1"/>
    <x v="17"/>
  </r>
  <r>
    <x v="0"/>
    <x v="5"/>
    <x v="0"/>
    <x v="18"/>
  </r>
  <r>
    <x v="1"/>
    <x v="2"/>
    <x v="0"/>
    <x v="19"/>
  </r>
  <r>
    <x v="0"/>
    <x v="5"/>
    <x v="1"/>
    <x v="20"/>
  </r>
  <r>
    <x v="1"/>
    <x v="2"/>
    <x v="1"/>
    <x v="21"/>
  </r>
  <r>
    <x v="0"/>
    <x v="6"/>
    <x v="0"/>
    <x v="22"/>
  </r>
  <r>
    <x v="0"/>
    <x v="6"/>
    <x v="1"/>
    <x v="23"/>
  </r>
  <r>
    <x v="0"/>
    <x v="7"/>
    <x v="0"/>
    <x v="24"/>
  </r>
  <r>
    <x v="0"/>
    <x v="7"/>
    <x v="1"/>
    <x v="25"/>
  </r>
  <r>
    <x v="1"/>
    <x v="3"/>
    <x v="0"/>
    <x v="26"/>
  </r>
  <r>
    <x v="1"/>
    <x v="3"/>
    <x v="1"/>
    <x v="27"/>
  </r>
  <r>
    <x v="1"/>
    <x v="4"/>
    <x v="0"/>
    <x v="28"/>
  </r>
  <r>
    <x v="1"/>
    <x v="4"/>
    <x v="1"/>
    <x v="29"/>
  </r>
  <r>
    <x v="1"/>
    <x v="5"/>
    <x v="0"/>
    <x v="30"/>
  </r>
  <r>
    <x v="2"/>
    <x v="2"/>
    <x v="0"/>
    <x v="31"/>
  </r>
  <r>
    <x v="1"/>
    <x v="5"/>
    <x v="1"/>
    <x v="32"/>
  </r>
  <r>
    <x v="2"/>
    <x v="2"/>
    <x v="1"/>
    <x v="33"/>
  </r>
  <r>
    <x v="1"/>
    <x v="6"/>
    <x v="0"/>
    <x v="34"/>
  </r>
  <r>
    <x v="1"/>
    <x v="6"/>
    <x v="1"/>
    <x v="35"/>
  </r>
  <r>
    <x v="1"/>
    <x v="7"/>
    <x v="0"/>
    <x v="36"/>
  </r>
  <r>
    <x v="1"/>
    <x v="7"/>
    <x v="1"/>
    <x v="37"/>
  </r>
  <r>
    <x v="2"/>
    <x v="3"/>
    <x v="0"/>
    <x v="38"/>
  </r>
  <r>
    <x v="2"/>
    <x v="3"/>
    <x v="1"/>
    <x v="39"/>
  </r>
  <r>
    <x v="2"/>
    <x v="4"/>
    <x v="0"/>
    <x v="40"/>
  </r>
  <r>
    <x v="2"/>
    <x v="4"/>
    <x v="1"/>
    <x v="41"/>
  </r>
  <r>
    <x v="2"/>
    <x v="5"/>
    <x v="0"/>
    <x v="42"/>
  </r>
  <r>
    <x v="2"/>
    <x v="5"/>
    <x v="1"/>
    <x v="43"/>
  </r>
  <r>
    <x v="2"/>
    <x v="6"/>
    <x v="0"/>
    <x v="44"/>
  </r>
  <r>
    <x v="2"/>
    <x v="6"/>
    <x v="1"/>
    <x v="45"/>
  </r>
  <r>
    <x v="2"/>
    <x v="7"/>
    <x v="0"/>
    <x v="46"/>
  </r>
  <r>
    <x v="2"/>
    <x v="7"/>
    <x v="1"/>
    <x v="4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5">
  <r>
    <x v="0"/>
    <x v="0"/>
    <x v="0"/>
    <x v="0"/>
  </r>
  <r>
    <x v="0"/>
    <x v="0"/>
    <x v="1"/>
    <x v="1"/>
  </r>
  <r>
    <x v="0"/>
    <x v="0"/>
    <x v="2"/>
    <x v="2"/>
  </r>
  <r>
    <x v="0"/>
    <x v="0"/>
    <x v="3"/>
    <x v="3"/>
  </r>
  <r>
    <x v="0"/>
    <x v="1"/>
    <x v="0"/>
    <x v="4"/>
  </r>
  <r>
    <x v="0"/>
    <x v="1"/>
    <x v="1"/>
    <x v="5"/>
  </r>
  <r>
    <x v="0"/>
    <x v="1"/>
    <x v="2"/>
    <x v="6"/>
  </r>
  <r>
    <x v="0"/>
    <x v="1"/>
    <x v="3"/>
    <x v="7"/>
  </r>
  <r>
    <x v="1"/>
    <x v="0"/>
    <x v="0"/>
    <x v="8"/>
  </r>
  <r>
    <x v="1"/>
    <x v="0"/>
    <x v="1"/>
    <x v="9"/>
  </r>
  <r>
    <x v="1"/>
    <x v="0"/>
    <x v="2"/>
    <x v="10"/>
  </r>
  <r>
    <x v="1"/>
    <x v="0"/>
    <x v="3"/>
    <x v="11"/>
  </r>
  <r>
    <x v="1"/>
    <x v="1"/>
    <x v="0"/>
    <x v="12"/>
  </r>
  <r>
    <x v="1"/>
    <x v="1"/>
    <x v="1"/>
    <x v="13"/>
  </r>
  <r>
    <x v="1"/>
    <x v="1"/>
    <x v="2"/>
    <x v="14"/>
  </r>
  <r>
    <x v="1"/>
    <x v="1"/>
    <x v="3"/>
    <x v="15"/>
  </r>
  <r>
    <x v="2"/>
    <x v="0"/>
    <x v="0"/>
    <x v="16"/>
  </r>
  <r>
    <x v="2"/>
    <x v="0"/>
    <x v="1"/>
    <x v="17"/>
  </r>
  <r>
    <x v="2"/>
    <x v="0"/>
    <x v="2"/>
    <x v="18"/>
  </r>
  <r>
    <x v="2"/>
    <x v="0"/>
    <x v="3"/>
    <x v="19"/>
  </r>
  <r>
    <x v="2"/>
    <x v="1"/>
    <x v="0"/>
    <x v="20"/>
  </r>
  <r>
    <x v="2"/>
    <x v="1"/>
    <x v="1"/>
    <x v="21"/>
  </r>
  <r>
    <x v="2"/>
    <x v="1"/>
    <x v="2"/>
    <x v="22"/>
  </r>
  <r>
    <x v="2"/>
    <x v="1"/>
    <x v="3"/>
    <x v="23"/>
  </r>
  <r>
    <x v="0"/>
    <x v="2"/>
    <x v="0"/>
    <x v="24"/>
  </r>
  <r>
    <x v="0"/>
    <x v="2"/>
    <x v="1"/>
    <x v="25"/>
  </r>
  <r>
    <x v="0"/>
    <x v="2"/>
    <x v="2"/>
    <x v="26"/>
  </r>
  <r>
    <x v="0"/>
    <x v="2"/>
    <x v="3"/>
    <x v="27"/>
  </r>
  <r>
    <x v="0"/>
    <x v="3"/>
    <x v="0"/>
    <x v="28"/>
  </r>
  <r>
    <x v="0"/>
    <x v="3"/>
    <x v="1"/>
    <x v="29"/>
  </r>
  <r>
    <x v="0"/>
    <x v="3"/>
    <x v="2"/>
    <x v="30"/>
  </r>
  <r>
    <x v="0"/>
    <x v="3"/>
    <x v="3"/>
    <x v="31"/>
  </r>
  <r>
    <x v="0"/>
    <x v="4"/>
    <x v="0"/>
    <x v="32"/>
  </r>
  <r>
    <x v="0"/>
    <x v="4"/>
    <x v="1"/>
    <x v="33"/>
  </r>
  <r>
    <x v="0"/>
    <x v="4"/>
    <x v="2"/>
    <x v="34"/>
  </r>
  <r>
    <x v="0"/>
    <x v="4"/>
    <x v="3"/>
    <x v="35"/>
  </r>
  <r>
    <x v="0"/>
    <x v="5"/>
    <x v="0"/>
    <x v="36"/>
  </r>
  <r>
    <x v="1"/>
    <x v="2"/>
    <x v="0"/>
    <x v="37"/>
  </r>
  <r>
    <x v="0"/>
    <x v="5"/>
    <x v="1"/>
    <x v="38"/>
  </r>
  <r>
    <x v="1"/>
    <x v="2"/>
    <x v="1"/>
    <x v="39"/>
  </r>
  <r>
    <x v="0"/>
    <x v="5"/>
    <x v="2"/>
    <x v="40"/>
  </r>
  <r>
    <x v="1"/>
    <x v="2"/>
    <x v="2"/>
    <x v="41"/>
  </r>
  <r>
    <x v="0"/>
    <x v="5"/>
    <x v="3"/>
    <x v="42"/>
  </r>
  <r>
    <x v="1"/>
    <x v="2"/>
    <x v="3"/>
    <x v="43"/>
  </r>
  <r>
    <x v="0"/>
    <x v="6"/>
    <x v="0"/>
    <x v="44"/>
  </r>
  <r>
    <x v="0"/>
    <x v="6"/>
    <x v="1"/>
    <x v="45"/>
  </r>
  <r>
    <x v="0"/>
    <x v="6"/>
    <x v="2"/>
    <x v="46"/>
  </r>
  <r>
    <x v="0"/>
    <x v="6"/>
    <x v="3"/>
    <x v="47"/>
  </r>
  <r>
    <x v="0"/>
    <x v="7"/>
    <x v="0"/>
    <x v="48"/>
  </r>
  <r>
    <x v="0"/>
    <x v="7"/>
    <x v="1"/>
    <x v="49"/>
  </r>
  <r>
    <x v="0"/>
    <x v="7"/>
    <x v="2"/>
    <x v="50"/>
  </r>
  <r>
    <x v="0"/>
    <x v="7"/>
    <x v="3"/>
    <x v="51"/>
  </r>
  <r>
    <x v="1"/>
    <x v="3"/>
    <x v="0"/>
    <x v="52"/>
  </r>
  <r>
    <x v="1"/>
    <x v="3"/>
    <x v="1"/>
    <x v="53"/>
  </r>
  <r>
    <x v="1"/>
    <x v="3"/>
    <x v="2"/>
    <x v="11"/>
  </r>
  <r>
    <x v="1"/>
    <x v="3"/>
    <x v="3"/>
    <x v="54"/>
  </r>
  <r>
    <x v="1"/>
    <x v="4"/>
    <x v="0"/>
    <x v="55"/>
  </r>
  <r>
    <x v="1"/>
    <x v="4"/>
    <x v="1"/>
    <x v="56"/>
  </r>
  <r>
    <x v="1"/>
    <x v="4"/>
    <x v="2"/>
    <x v="57"/>
  </r>
  <r>
    <x v="1"/>
    <x v="4"/>
    <x v="3"/>
    <x v="58"/>
  </r>
  <r>
    <x v="1"/>
    <x v="5"/>
    <x v="0"/>
    <x v="59"/>
  </r>
  <r>
    <x v="2"/>
    <x v="2"/>
    <x v="0"/>
    <x v="60"/>
  </r>
  <r>
    <x v="1"/>
    <x v="5"/>
    <x v="1"/>
    <x v="61"/>
  </r>
  <r>
    <x v="2"/>
    <x v="2"/>
    <x v="1"/>
    <x v="62"/>
  </r>
  <r>
    <x v="1"/>
    <x v="5"/>
    <x v="2"/>
    <x v="63"/>
  </r>
  <r>
    <x v="1"/>
    <x v="5"/>
    <x v="3"/>
    <x v="64"/>
  </r>
  <r>
    <x v="2"/>
    <x v="2"/>
    <x v="3"/>
    <x v="65"/>
  </r>
  <r>
    <x v="1"/>
    <x v="6"/>
    <x v="0"/>
    <x v="66"/>
  </r>
  <r>
    <x v="1"/>
    <x v="6"/>
    <x v="1"/>
    <x v="67"/>
  </r>
  <r>
    <x v="1"/>
    <x v="6"/>
    <x v="2"/>
    <x v="68"/>
  </r>
  <r>
    <x v="1"/>
    <x v="6"/>
    <x v="3"/>
    <x v="69"/>
  </r>
  <r>
    <x v="1"/>
    <x v="7"/>
    <x v="0"/>
    <x v="70"/>
  </r>
  <r>
    <x v="1"/>
    <x v="7"/>
    <x v="1"/>
    <x v="71"/>
  </r>
  <r>
    <x v="1"/>
    <x v="7"/>
    <x v="2"/>
    <x v="72"/>
  </r>
  <r>
    <x v="1"/>
    <x v="7"/>
    <x v="3"/>
    <x v="73"/>
  </r>
  <r>
    <x v="2"/>
    <x v="3"/>
    <x v="0"/>
    <x v="74"/>
  </r>
  <r>
    <x v="2"/>
    <x v="3"/>
    <x v="1"/>
    <x v="75"/>
  </r>
  <r>
    <x v="2"/>
    <x v="3"/>
    <x v="2"/>
    <x v="76"/>
  </r>
  <r>
    <x v="2"/>
    <x v="3"/>
    <x v="3"/>
    <x v="77"/>
  </r>
  <r>
    <x v="2"/>
    <x v="4"/>
    <x v="0"/>
    <x v="78"/>
  </r>
  <r>
    <x v="2"/>
    <x v="4"/>
    <x v="1"/>
    <x v="79"/>
  </r>
  <r>
    <x v="2"/>
    <x v="4"/>
    <x v="2"/>
    <x v="80"/>
  </r>
  <r>
    <x v="2"/>
    <x v="4"/>
    <x v="3"/>
    <x v="81"/>
  </r>
  <r>
    <x v="2"/>
    <x v="5"/>
    <x v="0"/>
    <x v="82"/>
  </r>
  <r>
    <x v="2"/>
    <x v="5"/>
    <x v="1"/>
    <x v="83"/>
  </r>
  <r>
    <x v="2"/>
    <x v="5"/>
    <x v="2"/>
    <x v="84"/>
  </r>
  <r>
    <x v="2"/>
    <x v="5"/>
    <x v="3"/>
    <x v="23"/>
  </r>
  <r>
    <x v="2"/>
    <x v="6"/>
    <x v="0"/>
    <x v="85"/>
  </r>
  <r>
    <x v="2"/>
    <x v="6"/>
    <x v="1"/>
    <x v="86"/>
  </r>
  <r>
    <x v="2"/>
    <x v="6"/>
    <x v="2"/>
    <x v="65"/>
  </r>
  <r>
    <x v="2"/>
    <x v="6"/>
    <x v="3"/>
    <x v="62"/>
  </r>
  <r>
    <x v="2"/>
    <x v="7"/>
    <x v="0"/>
    <x v="87"/>
  </r>
  <r>
    <x v="2"/>
    <x v="7"/>
    <x v="1"/>
    <x v="88"/>
  </r>
  <r>
    <x v="2"/>
    <x v="7"/>
    <x v="2"/>
    <x v="89"/>
  </r>
  <r>
    <x v="2"/>
    <x v="7"/>
    <x v="3"/>
    <x v="9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41">
  <r>
    <x v="0"/>
    <x v="0"/>
    <x v="0"/>
    <x v="0"/>
  </r>
  <r>
    <x v="0"/>
    <x v="0"/>
    <x v="1"/>
    <x v="1"/>
  </r>
  <r>
    <x v="0"/>
    <x v="0"/>
    <x v="2"/>
    <x v="2"/>
  </r>
  <r>
    <x v="0"/>
    <x v="0"/>
    <x v="3"/>
    <x v="3"/>
  </r>
  <r>
    <x v="0"/>
    <x v="0"/>
    <x v="4"/>
    <x v="4"/>
  </r>
  <r>
    <x v="0"/>
    <x v="0"/>
    <x v="5"/>
    <x v="5"/>
  </r>
  <r>
    <x v="0"/>
    <x v="1"/>
    <x v="3"/>
    <x v="6"/>
  </r>
  <r>
    <x v="0"/>
    <x v="1"/>
    <x v="4"/>
    <x v="7"/>
  </r>
  <r>
    <x v="0"/>
    <x v="1"/>
    <x v="5"/>
    <x v="8"/>
  </r>
  <r>
    <x v="0"/>
    <x v="1"/>
    <x v="0"/>
    <x v="9"/>
  </r>
  <r>
    <x v="0"/>
    <x v="1"/>
    <x v="1"/>
    <x v="10"/>
  </r>
  <r>
    <x v="0"/>
    <x v="1"/>
    <x v="2"/>
    <x v="11"/>
  </r>
  <r>
    <x v="0"/>
    <x v="2"/>
    <x v="3"/>
    <x v="12"/>
  </r>
  <r>
    <x v="0"/>
    <x v="2"/>
    <x v="4"/>
    <x v="13"/>
  </r>
  <r>
    <x v="0"/>
    <x v="2"/>
    <x v="5"/>
    <x v="14"/>
  </r>
  <r>
    <x v="0"/>
    <x v="2"/>
    <x v="0"/>
    <x v="15"/>
  </r>
  <r>
    <x v="0"/>
    <x v="2"/>
    <x v="1"/>
    <x v="16"/>
  </r>
  <r>
    <x v="0"/>
    <x v="2"/>
    <x v="2"/>
    <x v="17"/>
  </r>
  <r>
    <x v="1"/>
    <x v="0"/>
    <x v="1"/>
    <x v="18"/>
  </r>
  <r>
    <x v="1"/>
    <x v="0"/>
    <x v="4"/>
    <x v="19"/>
  </r>
  <r>
    <x v="1"/>
    <x v="0"/>
    <x v="5"/>
    <x v="20"/>
  </r>
  <r>
    <x v="1"/>
    <x v="0"/>
    <x v="3"/>
    <x v="21"/>
  </r>
  <r>
    <x v="1"/>
    <x v="0"/>
    <x v="0"/>
    <x v="22"/>
  </r>
  <r>
    <x v="1"/>
    <x v="0"/>
    <x v="2"/>
    <x v="23"/>
  </r>
  <r>
    <x v="1"/>
    <x v="1"/>
    <x v="3"/>
    <x v="24"/>
  </r>
  <r>
    <x v="1"/>
    <x v="1"/>
    <x v="0"/>
    <x v="25"/>
  </r>
  <r>
    <x v="1"/>
    <x v="1"/>
    <x v="2"/>
    <x v="26"/>
  </r>
  <r>
    <x v="1"/>
    <x v="1"/>
    <x v="1"/>
    <x v="27"/>
  </r>
  <r>
    <x v="1"/>
    <x v="1"/>
    <x v="4"/>
    <x v="28"/>
  </r>
  <r>
    <x v="1"/>
    <x v="1"/>
    <x v="5"/>
    <x v="24"/>
  </r>
  <r>
    <x v="1"/>
    <x v="2"/>
    <x v="0"/>
    <x v="29"/>
  </r>
  <r>
    <x v="1"/>
    <x v="2"/>
    <x v="2"/>
    <x v="30"/>
  </r>
  <r>
    <x v="1"/>
    <x v="2"/>
    <x v="1"/>
    <x v="31"/>
  </r>
  <r>
    <x v="1"/>
    <x v="2"/>
    <x v="4"/>
    <x v="32"/>
  </r>
  <r>
    <x v="1"/>
    <x v="2"/>
    <x v="5"/>
    <x v="33"/>
  </r>
  <r>
    <x v="1"/>
    <x v="2"/>
    <x v="3"/>
    <x v="34"/>
  </r>
  <r>
    <x v="2"/>
    <x v="0"/>
    <x v="4"/>
    <x v="35"/>
  </r>
  <r>
    <x v="2"/>
    <x v="0"/>
    <x v="5"/>
    <x v="36"/>
  </r>
  <r>
    <x v="2"/>
    <x v="0"/>
    <x v="1"/>
    <x v="35"/>
  </r>
  <r>
    <x v="2"/>
    <x v="1"/>
    <x v="3"/>
    <x v="37"/>
  </r>
  <r>
    <x v="2"/>
    <x v="1"/>
    <x v="4"/>
    <x v="38"/>
  </r>
  <r>
    <x v="2"/>
    <x v="1"/>
    <x v="5"/>
    <x v="39"/>
  </r>
  <r>
    <x v="2"/>
    <x v="1"/>
    <x v="0"/>
    <x v="40"/>
  </r>
  <r>
    <x v="2"/>
    <x v="1"/>
    <x v="1"/>
    <x v="41"/>
  </r>
  <r>
    <x v="2"/>
    <x v="1"/>
    <x v="2"/>
    <x v="42"/>
  </r>
  <r>
    <x v="2"/>
    <x v="2"/>
    <x v="4"/>
    <x v="43"/>
  </r>
  <r>
    <x v="2"/>
    <x v="2"/>
    <x v="5"/>
    <x v="44"/>
  </r>
  <r>
    <x v="2"/>
    <x v="2"/>
    <x v="0"/>
    <x v="45"/>
  </r>
  <r>
    <x v="2"/>
    <x v="2"/>
    <x v="1"/>
    <x v="46"/>
  </r>
  <r>
    <x v="2"/>
    <x v="2"/>
    <x v="2"/>
    <x v="47"/>
  </r>
  <r>
    <x v="2"/>
    <x v="2"/>
    <x v="3"/>
    <x v="48"/>
  </r>
  <r>
    <x v="3"/>
    <x v="0"/>
    <x v="0"/>
    <x v="49"/>
  </r>
  <r>
    <x v="3"/>
    <x v="0"/>
    <x v="1"/>
    <x v="50"/>
  </r>
  <r>
    <x v="3"/>
    <x v="0"/>
    <x v="2"/>
    <x v="51"/>
  </r>
  <r>
    <x v="3"/>
    <x v="0"/>
    <x v="3"/>
    <x v="52"/>
  </r>
  <r>
    <x v="3"/>
    <x v="0"/>
    <x v="4"/>
    <x v="53"/>
  </r>
  <r>
    <x v="3"/>
    <x v="0"/>
    <x v="5"/>
    <x v="54"/>
  </r>
  <r>
    <x v="3"/>
    <x v="1"/>
    <x v="3"/>
    <x v="55"/>
  </r>
  <r>
    <x v="3"/>
    <x v="1"/>
    <x v="4"/>
    <x v="56"/>
  </r>
  <r>
    <x v="3"/>
    <x v="1"/>
    <x v="5"/>
    <x v="57"/>
  </r>
  <r>
    <x v="3"/>
    <x v="1"/>
    <x v="0"/>
    <x v="58"/>
  </r>
  <r>
    <x v="3"/>
    <x v="1"/>
    <x v="1"/>
    <x v="59"/>
  </r>
  <r>
    <x v="3"/>
    <x v="1"/>
    <x v="2"/>
    <x v="60"/>
  </r>
  <r>
    <x v="3"/>
    <x v="2"/>
    <x v="3"/>
    <x v="61"/>
  </r>
  <r>
    <x v="3"/>
    <x v="2"/>
    <x v="4"/>
    <x v="62"/>
  </r>
  <r>
    <x v="3"/>
    <x v="2"/>
    <x v="5"/>
    <x v="63"/>
  </r>
  <r>
    <x v="3"/>
    <x v="2"/>
    <x v="0"/>
    <x v="58"/>
  </r>
  <r>
    <x v="3"/>
    <x v="2"/>
    <x v="1"/>
    <x v="64"/>
  </r>
  <r>
    <x v="3"/>
    <x v="2"/>
    <x v="2"/>
    <x v="65"/>
  </r>
  <r>
    <x v="4"/>
    <x v="0"/>
    <x v="0"/>
    <x v="66"/>
  </r>
  <r>
    <x v="4"/>
    <x v="0"/>
    <x v="1"/>
    <x v="67"/>
  </r>
  <r>
    <x v="4"/>
    <x v="0"/>
    <x v="2"/>
    <x v="68"/>
  </r>
  <r>
    <x v="4"/>
    <x v="0"/>
    <x v="3"/>
    <x v="69"/>
  </r>
  <r>
    <x v="4"/>
    <x v="0"/>
    <x v="4"/>
    <x v="70"/>
  </r>
  <r>
    <x v="4"/>
    <x v="0"/>
    <x v="5"/>
    <x v="71"/>
  </r>
  <r>
    <x v="4"/>
    <x v="1"/>
    <x v="3"/>
    <x v="72"/>
  </r>
  <r>
    <x v="4"/>
    <x v="1"/>
    <x v="4"/>
    <x v="73"/>
  </r>
  <r>
    <x v="4"/>
    <x v="1"/>
    <x v="5"/>
    <x v="74"/>
  </r>
  <r>
    <x v="4"/>
    <x v="1"/>
    <x v="0"/>
    <x v="75"/>
  </r>
  <r>
    <x v="4"/>
    <x v="1"/>
    <x v="1"/>
    <x v="76"/>
  </r>
  <r>
    <x v="4"/>
    <x v="1"/>
    <x v="2"/>
    <x v="77"/>
  </r>
  <r>
    <x v="4"/>
    <x v="2"/>
    <x v="3"/>
    <x v="78"/>
  </r>
  <r>
    <x v="4"/>
    <x v="2"/>
    <x v="4"/>
    <x v="79"/>
  </r>
  <r>
    <x v="4"/>
    <x v="2"/>
    <x v="5"/>
    <x v="80"/>
  </r>
  <r>
    <x v="4"/>
    <x v="2"/>
    <x v="0"/>
    <x v="81"/>
  </r>
  <r>
    <x v="4"/>
    <x v="2"/>
    <x v="1"/>
    <x v="82"/>
  </r>
  <r>
    <x v="4"/>
    <x v="2"/>
    <x v="2"/>
    <x v="83"/>
  </r>
  <r>
    <x v="5"/>
    <x v="0"/>
    <x v="4"/>
    <x v="84"/>
  </r>
  <r>
    <x v="5"/>
    <x v="0"/>
    <x v="5"/>
    <x v="85"/>
  </r>
  <r>
    <x v="5"/>
    <x v="0"/>
    <x v="0"/>
    <x v="2"/>
  </r>
  <r>
    <x v="5"/>
    <x v="0"/>
    <x v="1"/>
    <x v="86"/>
  </r>
  <r>
    <x v="5"/>
    <x v="0"/>
    <x v="2"/>
    <x v="87"/>
  </r>
  <r>
    <x v="5"/>
    <x v="0"/>
    <x v="3"/>
    <x v="88"/>
  </r>
  <r>
    <x v="5"/>
    <x v="1"/>
    <x v="4"/>
    <x v="89"/>
  </r>
  <r>
    <x v="5"/>
    <x v="1"/>
    <x v="5"/>
    <x v="90"/>
  </r>
  <r>
    <x v="5"/>
    <x v="1"/>
    <x v="0"/>
    <x v="91"/>
  </r>
  <r>
    <x v="5"/>
    <x v="1"/>
    <x v="1"/>
    <x v="92"/>
  </r>
  <r>
    <x v="5"/>
    <x v="1"/>
    <x v="2"/>
    <x v="93"/>
  </r>
  <r>
    <x v="5"/>
    <x v="1"/>
    <x v="3"/>
    <x v="94"/>
  </r>
  <r>
    <x v="5"/>
    <x v="2"/>
    <x v="5"/>
    <x v="95"/>
  </r>
  <r>
    <x v="5"/>
    <x v="2"/>
    <x v="0"/>
    <x v="96"/>
  </r>
  <r>
    <x v="5"/>
    <x v="2"/>
    <x v="1"/>
    <x v="97"/>
  </r>
  <r>
    <x v="5"/>
    <x v="2"/>
    <x v="2"/>
    <x v="98"/>
  </r>
  <r>
    <x v="5"/>
    <x v="2"/>
    <x v="3"/>
    <x v="99"/>
  </r>
  <r>
    <x v="5"/>
    <x v="2"/>
    <x v="4"/>
    <x v="100"/>
  </r>
  <r>
    <x v="6"/>
    <x v="0"/>
    <x v="4"/>
    <x v="101"/>
  </r>
  <r>
    <x v="6"/>
    <x v="0"/>
    <x v="5"/>
    <x v="102"/>
  </r>
  <r>
    <x v="6"/>
    <x v="0"/>
    <x v="0"/>
    <x v="103"/>
  </r>
  <r>
    <x v="6"/>
    <x v="0"/>
    <x v="1"/>
    <x v="104"/>
  </r>
  <r>
    <x v="6"/>
    <x v="0"/>
    <x v="2"/>
    <x v="105"/>
  </r>
  <r>
    <x v="6"/>
    <x v="0"/>
    <x v="3"/>
    <x v="106"/>
  </r>
  <r>
    <x v="6"/>
    <x v="1"/>
    <x v="4"/>
    <x v="101"/>
  </r>
  <r>
    <x v="6"/>
    <x v="1"/>
    <x v="5"/>
    <x v="107"/>
  </r>
  <r>
    <x v="6"/>
    <x v="1"/>
    <x v="0"/>
    <x v="108"/>
  </r>
  <r>
    <x v="6"/>
    <x v="1"/>
    <x v="1"/>
    <x v="109"/>
  </r>
  <r>
    <x v="6"/>
    <x v="1"/>
    <x v="2"/>
    <x v="110"/>
  </r>
  <r>
    <x v="6"/>
    <x v="1"/>
    <x v="3"/>
    <x v="111"/>
  </r>
  <r>
    <x v="6"/>
    <x v="2"/>
    <x v="0"/>
    <x v="70"/>
  </r>
  <r>
    <x v="6"/>
    <x v="2"/>
    <x v="1"/>
    <x v="112"/>
  </r>
  <r>
    <x v="6"/>
    <x v="2"/>
    <x v="2"/>
    <x v="113"/>
  </r>
  <r>
    <x v="6"/>
    <x v="2"/>
    <x v="3"/>
    <x v="114"/>
  </r>
  <r>
    <x v="6"/>
    <x v="2"/>
    <x v="4"/>
    <x v="29"/>
  </r>
  <r>
    <x v="6"/>
    <x v="2"/>
    <x v="5"/>
    <x v="115"/>
  </r>
  <r>
    <x v="7"/>
    <x v="0"/>
    <x v="1"/>
    <x v="116"/>
  </r>
  <r>
    <x v="7"/>
    <x v="0"/>
    <x v="2"/>
    <x v="117"/>
  </r>
  <r>
    <x v="7"/>
    <x v="0"/>
    <x v="3"/>
    <x v="118"/>
  </r>
  <r>
    <x v="7"/>
    <x v="0"/>
    <x v="4"/>
    <x v="119"/>
  </r>
  <r>
    <x v="7"/>
    <x v="0"/>
    <x v="5"/>
    <x v="120"/>
  </r>
  <r>
    <x v="7"/>
    <x v="0"/>
    <x v="0"/>
    <x v="121"/>
  </r>
  <r>
    <x v="7"/>
    <x v="1"/>
    <x v="3"/>
    <x v="122"/>
  </r>
  <r>
    <x v="7"/>
    <x v="1"/>
    <x v="4"/>
    <x v="123"/>
  </r>
  <r>
    <x v="7"/>
    <x v="1"/>
    <x v="5"/>
    <x v="124"/>
  </r>
  <r>
    <x v="7"/>
    <x v="1"/>
    <x v="0"/>
    <x v="125"/>
  </r>
  <r>
    <x v="7"/>
    <x v="1"/>
    <x v="1"/>
    <x v="126"/>
  </r>
  <r>
    <x v="7"/>
    <x v="1"/>
    <x v="2"/>
    <x v="127"/>
  </r>
  <r>
    <x v="7"/>
    <x v="2"/>
    <x v="3"/>
    <x v="128"/>
  </r>
  <r>
    <x v="7"/>
    <x v="2"/>
    <x v="4"/>
    <x v="129"/>
  </r>
  <r>
    <x v="7"/>
    <x v="2"/>
    <x v="5"/>
    <x v="130"/>
  </r>
  <r>
    <x v="7"/>
    <x v="2"/>
    <x v="0"/>
    <x v="131"/>
  </r>
  <r>
    <x v="7"/>
    <x v="2"/>
    <x v="1"/>
    <x v="132"/>
  </r>
  <r>
    <x v="7"/>
    <x v="2"/>
    <x v="2"/>
    <x v="13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24">
  <r>
    <x v="0"/>
    <x v="0"/>
    <x v="0"/>
    <x v="0"/>
  </r>
  <r>
    <x v="0"/>
    <x v="1"/>
    <x v="1"/>
    <x v="1"/>
  </r>
  <r>
    <x v="0"/>
    <x v="2"/>
    <x v="2"/>
    <x v="2"/>
  </r>
  <r>
    <x v="1"/>
    <x v="0"/>
    <x v="3"/>
    <x v="3"/>
  </r>
  <r>
    <x v="1"/>
    <x v="1"/>
    <x v="4"/>
    <x v="4"/>
  </r>
  <r>
    <x v="1"/>
    <x v="2"/>
    <x v="5"/>
    <x v="5"/>
  </r>
  <r>
    <x v="2"/>
    <x v="0"/>
    <x v="6"/>
    <x v="6"/>
  </r>
  <r>
    <x v="2"/>
    <x v="1"/>
    <x v="7"/>
    <x v="7"/>
  </r>
  <r>
    <x v="2"/>
    <x v="2"/>
    <x v="8"/>
    <x v="8"/>
  </r>
  <r>
    <x v="3"/>
    <x v="0"/>
    <x v="9"/>
    <x v="9"/>
  </r>
  <r>
    <x v="3"/>
    <x v="1"/>
    <x v="10"/>
    <x v="10"/>
  </r>
  <r>
    <x v="3"/>
    <x v="2"/>
    <x v="11"/>
    <x v="11"/>
  </r>
  <r>
    <x v="4"/>
    <x v="0"/>
    <x v="12"/>
    <x v="12"/>
  </r>
  <r>
    <x v="4"/>
    <x v="1"/>
    <x v="13"/>
    <x v="13"/>
  </r>
  <r>
    <x v="4"/>
    <x v="2"/>
    <x v="14"/>
    <x v="14"/>
  </r>
  <r>
    <x v="5"/>
    <x v="0"/>
    <x v="15"/>
    <x v="15"/>
  </r>
  <r>
    <x v="5"/>
    <x v="1"/>
    <x v="16"/>
    <x v="16"/>
  </r>
  <r>
    <x v="5"/>
    <x v="2"/>
    <x v="17"/>
    <x v="17"/>
  </r>
  <r>
    <x v="6"/>
    <x v="0"/>
    <x v="18"/>
    <x v="18"/>
  </r>
  <r>
    <x v="6"/>
    <x v="1"/>
    <x v="19"/>
    <x v="19"/>
  </r>
  <r>
    <x v="6"/>
    <x v="2"/>
    <x v="20"/>
    <x v="20"/>
  </r>
  <r>
    <x v="7"/>
    <x v="0"/>
    <x v="21"/>
    <x v="21"/>
  </r>
  <r>
    <x v="7"/>
    <x v="1"/>
    <x v="22"/>
    <x v="22"/>
  </r>
  <r>
    <x v="7"/>
    <x v="2"/>
    <x v="23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数据透视表8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L74:O84" firstHeaderRow="1" firstDataRow="2" firstDataCol="1"/>
  <pivotFields count="4">
    <pivotField compact="0" showAll="0">
      <items count="4">
        <item x="2"/>
        <item x="1"/>
        <item x="0"/>
        <item t="default"/>
      </items>
    </pivotField>
    <pivotField axis="axisRow" compact="0" showAll="0">
      <items count="9">
        <item x="6"/>
        <item x="3"/>
        <item x="2"/>
        <item x="5"/>
        <item x="7"/>
        <item x="1"/>
        <item x="0"/>
        <item x="4"/>
        <item t="default"/>
      </items>
    </pivotField>
    <pivotField axis="axisCol" compact="0" showAll="0">
      <items count="3">
        <item x="0"/>
        <item x="1"/>
        <item t="default"/>
      </items>
    </pivotField>
    <pivotField dataField="1" compact="0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求和项:订单数" fld="3" baseField="0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9" cacheId="2" dataOnRows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Q74:V84" firstHeaderRow="1" firstDataRow="2" firstDataCol="1"/>
  <pivotFields count="4">
    <pivotField compact="0" showAll="0">
      <items count="4">
        <item x="2"/>
        <item x="1"/>
        <item x="0"/>
        <item t="default"/>
      </items>
    </pivotField>
    <pivotField axis="axisRow" compact="0" showAll="0">
      <items count="9">
        <item x="6"/>
        <item x="3"/>
        <item x="2"/>
        <item x="5"/>
        <item x="7"/>
        <item x="1"/>
        <item x="0"/>
        <item x="4"/>
        <item t="default"/>
      </items>
    </pivotField>
    <pivotField axis="axisCol" compact="0" showAll="0">
      <items count="5">
        <item x="0"/>
        <item x="1"/>
        <item x="2"/>
        <item x="3"/>
        <item t="default"/>
      </items>
    </pivotField>
    <pivotField dataField="1" compact="0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求和项:订单数" fld="3" baseField="0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10" cacheId="3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88:H98" firstHeaderRow="1" firstDataRow="2" firstDataCol="1"/>
  <pivotFields count="4">
    <pivotField axis="axisRow"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Col" compact="0" showAll="0">
      <items count="7">
        <item x="1"/>
        <item x="3"/>
        <item x="4"/>
        <item x="0"/>
        <item x="5"/>
        <item x="2"/>
        <item t="default"/>
      </items>
    </pivotField>
    <pivotField dataField="1" compact="0" showAll="0">
      <items count="1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求和项:订单数" fld="3" baseField="0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5" cacheId="4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I6:L15" firstHeaderRow="0" firstDataRow="1" firstDataCol="1"/>
  <pivotFields count="5">
    <pivotField axis="axisRow"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compact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dragToCol="0" dragToPage="0" dragToRow="0" compact="0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订单数" fld="2" baseField="0" baseItem="0"/>
    <dataField name="求和项:新订单数" fld="3" baseField="0" baseItem="0"/>
    <dataField name="求和项:新客率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compactData="0" showDrill="1" multipleFieldFilters="0">
  <location ref="F8:I18" firstHeaderRow="1" firstDataRow="2" firstDataCol="1" rowPageCount="1" colPageCount="1"/>
  <pivotFields count="4">
    <pivotField axis="axisPage" compact="0" outline="0" showAll="0">
      <items count="4">
        <item x="1"/>
        <item x="0"/>
        <item x="2"/>
        <item t="default"/>
      </items>
    </pivotField>
    <pivotField axis="axisRow" compact="0" defaultSubtotal="0" outline="0" showAll="0">
      <items count="8">
        <item x="6"/>
        <item x="3"/>
        <item x="2"/>
        <item x="5"/>
        <item x="7"/>
        <item x="1"/>
        <item x="0"/>
        <item x="4"/>
      </items>
    </pivotField>
    <pivotField axis="axisCol" compact="0" outline="0" showAll="0">
      <items count="3">
        <item x="1"/>
        <item x="0"/>
        <item t="default"/>
      </items>
    </pivotField>
    <pivotField dataField="1" compact="0" outline="0" showAll="0">
      <items count="49">
        <item x="19"/>
        <item x="38"/>
        <item x="21"/>
        <item x="4"/>
        <item x="29"/>
        <item x="44"/>
        <item x="33"/>
        <item x="28"/>
        <item x="24"/>
        <item x="2"/>
        <item x="41"/>
        <item x="45"/>
        <item x="0"/>
        <item x="43"/>
        <item x="15"/>
        <item x="46"/>
        <item x="20"/>
        <item x="35"/>
        <item x="7"/>
        <item x="12"/>
        <item x="9"/>
        <item x="17"/>
        <item x="25"/>
        <item x="3"/>
        <item x="39"/>
        <item x="11"/>
        <item x="10"/>
        <item x="18"/>
        <item x="5"/>
        <item x="32"/>
        <item x="31"/>
        <item x="23"/>
        <item x="14"/>
        <item x="47"/>
        <item x="22"/>
        <item x="30"/>
        <item x="1"/>
        <item x="37"/>
        <item x="26"/>
        <item x="40"/>
        <item x="8"/>
        <item x="34"/>
        <item x="42"/>
        <item x="16"/>
        <item x="13"/>
        <item x="6"/>
        <item x="36"/>
        <item x="27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0"/>
  </pageFields>
  <dataFields count="1">
    <dataField name="求和项:订单数" fld="3" baseField="0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数据透视表2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F7:I17" firstHeaderRow="1" firstDataRow="2" firstDataCol="1"/>
  <pivotFields count="4">
    <pivotField compact="0" showAll="0">
      <items count="4">
        <item x="2"/>
        <item x="1"/>
        <item x="0"/>
        <item t="default"/>
      </items>
    </pivotField>
    <pivotField axis="axisRow" compact="0" showAll="0">
      <items count="9">
        <item x="6"/>
        <item x="3"/>
        <item x="2"/>
        <item x="5"/>
        <item x="7"/>
        <item x="1"/>
        <item x="0"/>
        <item x="4"/>
        <item t="default"/>
      </items>
    </pivotField>
    <pivotField axis="axisCol" compact="0" showAll="0">
      <items count="3">
        <item x="0"/>
        <item x="1"/>
        <item t="default"/>
      </items>
    </pivotField>
    <pivotField dataField="1" compact="0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求和项:订单数" fld="3" baseField="0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数据透视表3" cacheId="2" dataOnRows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F9:K19" firstHeaderRow="1" firstDataRow="2" firstDataCol="1"/>
  <pivotFields count="4">
    <pivotField compact="0" showAll="0">
      <items count="4">
        <item x="2"/>
        <item x="1"/>
        <item x="0"/>
        <item t="default"/>
      </items>
    </pivotField>
    <pivotField axis="axisRow" compact="0" showAll="0">
      <items count="9">
        <item x="6"/>
        <item x="3"/>
        <item x="2"/>
        <item x="5"/>
        <item x="7"/>
        <item x="1"/>
        <item x="0"/>
        <item x="4"/>
        <item t="default"/>
      </items>
    </pivotField>
    <pivotField axis="axisCol" compact="0" showAll="0">
      <items count="5">
        <item x="0"/>
        <item x="1"/>
        <item x="2"/>
        <item x="3"/>
        <item t="default"/>
      </items>
    </pivotField>
    <pivotField dataField="1" compact="0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求和项:订单数" fld="3" baseField="0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数据透视表4" cacheId="3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F119:M129" firstHeaderRow="1" firstDataRow="2" firstDataCol="1"/>
  <pivotFields count="4">
    <pivotField axis="axisRow"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Col" compact="0" showAll="0">
      <items count="7">
        <item x="1"/>
        <item x="3"/>
        <item x="4"/>
        <item x="0"/>
        <item x="5"/>
        <item x="2"/>
        <item t="default"/>
      </items>
    </pivotField>
    <pivotField dataField="1" compact="0" showAll="0">
      <items count="1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求和项:订单数" fld="3" baseField="0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V98"/>
  <sheetViews>
    <sheetView showGridLines="0" tabSelected="1" zoomScale="98" zoomScaleNormal="98" workbookViewId="0">
      <selection activeCell="K59" sqref="K59"/>
    </sheetView>
  </sheetViews>
  <sheetFormatPr defaultColWidth="9.22727272727273" defaultRowHeight="14"/>
  <cols>
    <col min="1" max="1" width="13.2545454545455" customWidth="1"/>
    <col min="2" max="2" width="11.5363636363636" customWidth="1"/>
    <col min="3" max="3" width="13.4545454545455" customWidth="1"/>
    <col min="4" max="5" width="12.3363636363636" customWidth="1"/>
    <col min="6" max="6" width="11.8545454545455" customWidth="1"/>
    <col min="7" max="7" width="12.3363636363636" customWidth="1"/>
    <col min="8" max="8" width="12.4272727272727" customWidth="1"/>
    <col min="9" max="9" width="13.7272727272727" customWidth="1"/>
    <col min="10" max="10" width="7.92727272727273" customWidth="1"/>
  </cols>
  <sheetData>
    <row r="1" spans="1:1">
      <c r="A1" t="s">
        <v>0</v>
      </c>
    </row>
    <row r="2" hidden="1" spans="1:1">
      <c r="A2" s="13" t="s">
        <v>1</v>
      </c>
    </row>
    <row r="3" hidden="1" spans="1:10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14" t="s">
        <v>9</v>
      </c>
      <c r="I3" s="14" t="s">
        <v>10</v>
      </c>
      <c r="J3" s="14" t="s">
        <v>11</v>
      </c>
    </row>
    <row r="4" hidden="1" spans="1:10">
      <c r="A4" t="s">
        <v>12</v>
      </c>
      <c r="B4" s="3">
        <v>0.00475059382422803</v>
      </c>
      <c r="C4" s="3">
        <v>0.0272536687631027</v>
      </c>
      <c r="D4" s="3">
        <v>0</v>
      </c>
      <c r="E4" s="3">
        <v>0.0330935251798561</v>
      </c>
      <c r="F4" s="3">
        <v>0.0054945054945055</v>
      </c>
      <c r="G4" s="3">
        <v>0.102941176470588</v>
      </c>
      <c r="H4" s="3">
        <v>0.0159505208333333</v>
      </c>
      <c r="I4" s="3">
        <v>0.0236559139784946</v>
      </c>
      <c r="J4" s="3">
        <v>0.0231139393620658</v>
      </c>
    </row>
    <row r="5" hidden="1" spans="1:10">
      <c r="A5" t="s">
        <v>13</v>
      </c>
      <c r="B5" s="3">
        <v>0.00950118764845606</v>
      </c>
      <c r="C5" s="3">
        <v>0.0286512928022362</v>
      </c>
      <c r="D5" s="3">
        <v>0</v>
      </c>
      <c r="E5" s="3">
        <v>0.0474820143884892</v>
      </c>
      <c r="F5" s="3">
        <v>0.0290423861852433</v>
      </c>
      <c r="G5" s="3">
        <v>0.0980392156862745</v>
      </c>
      <c r="H5" s="3">
        <v>0.021484375</v>
      </c>
      <c r="I5" s="3">
        <v>0.0400330851943755</v>
      </c>
      <c r="J5" s="3">
        <v>0.0379710221147019</v>
      </c>
    </row>
    <row r="6" hidden="1" spans="1:10">
      <c r="A6" t="s">
        <v>14</v>
      </c>
      <c r="B6" s="3">
        <v>0.0308788598574822</v>
      </c>
      <c r="C6" s="3">
        <v>0.0538085255066387</v>
      </c>
      <c r="D6" s="3">
        <v>0.166666666666667</v>
      </c>
      <c r="E6" s="3">
        <v>0.100719424460432</v>
      </c>
      <c r="F6" s="3">
        <v>0.0580847723704867</v>
      </c>
      <c r="G6" s="3">
        <v>0.259803921568627</v>
      </c>
      <c r="H6" s="3">
        <v>0.0836588541666667</v>
      </c>
      <c r="I6" s="3">
        <v>0.0837386269644334</v>
      </c>
      <c r="J6" s="3">
        <v>0.082752636146099</v>
      </c>
    </row>
    <row r="7" hidden="1" spans="1:10">
      <c r="A7" t="s">
        <v>15</v>
      </c>
      <c r="B7" s="3">
        <v>0.0451306413301663</v>
      </c>
      <c r="C7" s="3">
        <v>0.0705800139762404</v>
      </c>
      <c r="D7" s="3">
        <v>0.25</v>
      </c>
      <c r="E7" s="3">
        <v>0.0942446043165468</v>
      </c>
      <c r="F7" s="3">
        <v>0.0918367346938776</v>
      </c>
      <c r="G7" s="3">
        <v>0.0735294117647059</v>
      </c>
      <c r="H7" s="3">
        <v>0.180989583333333</v>
      </c>
      <c r="I7" s="3">
        <v>0.120926385442514</v>
      </c>
      <c r="J7" s="3">
        <v>0.120881432590917</v>
      </c>
    </row>
    <row r="8" hidden="1" spans="1:10">
      <c r="A8" t="s">
        <v>16</v>
      </c>
      <c r="B8" s="3">
        <v>0.218527315914489</v>
      </c>
      <c r="C8" s="3">
        <v>0.144654088050314</v>
      </c>
      <c r="D8" s="3">
        <v>0</v>
      </c>
      <c r="E8" s="3">
        <v>0.156834532374101</v>
      </c>
      <c r="F8" s="3">
        <v>0.154631083202512</v>
      </c>
      <c r="G8" s="3">
        <v>0.122549019607843</v>
      </c>
      <c r="H8" s="3">
        <v>0.228190104166667</v>
      </c>
      <c r="I8" s="3">
        <v>0.181075268817204</v>
      </c>
      <c r="J8" s="3">
        <v>0.181782324015883</v>
      </c>
    </row>
    <row r="9" hidden="1" spans="1:10">
      <c r="A9" t="s">
        <v>17</v>
      </c>
      <c r="B9" s="3">
        <v>0.28978622327791</v>
      </c>
      <c r="C9" s="3">
        <v>0.23549965059399</v>
      </c>
      <c r="D9" s="3">
        <v>0.333333333333333</v>
      </c>
      <c r="E9" s="3">
        <v>0.228776978417266</v>
      </c>
      <c r="F9" s="3">
        <v>0.231554160125589</v>
      </c>
      <c r="G9" s="3">
        <v>0.147058823529412</v>
      </c>
      <c r="H9" s="3">
        <v>0.291015625</v>
      </c>
      <c r="I9" s="3">
        <v>0.226038047973532</v>
      </c>
      <c r="J9" s="3">
        <v>0.232243813931473</v>
      </c>
    </row>
    <row r="10" hidden="1" spans="1:10">
      <c r="A10" t="s">
        <v>18</v>
      </c>
      <c r="B10" s="3">
        <v>0.26603325415677</v>
      </c>
      <c r="C10" s="3">
        <v>0.241788958770091</v>
      </c>
      <c r="D10" s="3">
        <v>0.0833333333333333</v>
      </c>
      <c r="E10" s="3">
        <v>0.209352517985612</v>
      </c>
      <c r="F10" s="3">
        <v>0.218995290423862</v>
      </c>
      <c r="G10" s="3">
        <v>0.137254901960784</v>
      </c>
      <c r="H10" s="3">
        <v>0.1611328125</v>
      </c>
      <c r="I10" s="3">
        <v>0.191000827129859</v>
      </c>
      <c r="J10" s="3">
        <v>0.192616161350548</v>
      </c>
    </row>
    <row r="11" hidden="1" spans="1:10">
      <c r="A11" t="s">
        <v>19</v>
      </c>
      <c r="B11" s="3">
        <v>0.0997624703087886</v>
      </c>
      <c r="C11" s="3">
        <v>0.134171907756813</v>
      </c>
      <c r="D11" s="3">
        <v>0.166666666666667</v>
      </c>
      <c r="E11" s="3">
        <v>0.0913669064748201</v>
      </c>
      <c r="F11" s="3">
        <v>0.135792778649922</v>
      </c>
      <c r="G11" s="3">
        <v>0.0343137254901961</v>
      </c>
      <c r="H11" s="3">
        <v>0.0133463541666667</v>
      </c>
      <c r="I11" s="3">
        <v>0.0973366418527709</v>
      </c>
      <c r="J11" s="3">
        <v>0.092718714665124</v>
      </c>
    </row>
    <row r="12" hidden="1" spans="1:10">
      <c r="A12" t="s">
        <v>20</v>
      </c>
      <c r="B12" s="3">
        <v>0.0237529691211401</v>
      </c>
      <c r="C12" s="3">
        <v>0.0433263452131377</v>
      </c>
      <c r="D12" s="3">
        <v>0</v>
      </c>
      <c r="E12" s="3">
        <v>0.0266187050359712</v>
      </c>
      <c r="F12" s="3">
        <v>0.0518053375196232</v>
      </c>
      <c r="G12" s="3">
        <v>0.0196078431372549</v>
      </c>
      <c r="H12" s="3">
        <v>0.00325520833333333</v>
      </c>
      <c r="I12" s="3">
        <v>0.0257402812241522</v>
      </c>
      <c r="J12" s="3">
        <v>0.025427962870441</v>
      </c>
    </row>
    <row r="13" hidden="1" spans="1:10">
      <c r="A13" t="s">
        <v>21</v>
      </c>
      <c r="B13" s="3">
        <v>0.0118764845605701</v>
      </c>
      <c r="C13" s="3">
        <v>0.0125786163522013</v>
      </c>
      <c r="D13" s="3">
        <v>0</v>
      </c>
      <c r="E13" s="3">
        <v>0.0100719424460432</v>
      </c>
      <c r="F13" s="3">
        <v>0.0188383045525903</v>
      </c>
      <c r="G13" s="3">
        <v>0.00490196078431373</v>
      </c>
      <c r="H13" s="3">
        <v>0.000325520833333333</v>
      </c>
      <c r="I13" s="3">
        <v>0.00827129859387924</v>
      </c>
      <c r="J13" s="3">
        <v>0.00823056088774356</v>
      </c>
    </row>
    <row r="14" hidden="1" spans="1:10">
      <c r="A14" t="s">
        <v>22</v>
      </c>
      <c r="B14" s="3">
        <v>0</v>
      </c>
      <c r="C14" s="3">
        <v>0.00698812019566737</v>
      </c>
      <c r="D14" s="3">
        <v>0</v>
      </c>
      <c r="E14" s="3">
        <v>0.00143884892086331</v>
      </c>
      <c r="F14" s="3">
        <v>0.00313971742543171</v>
      </c>
      <c r="G14" s="3">
        <v>0</v>
      </c>
      <c r="H14" s="3">
        <v>0.000325520833333333</v>
      </c>
      <c r="I14" s="3">
        <v>0.00201819685690653</v>
      </c>
      <c r="J14" s="3">
        <v>0.00205106629151437</v>
      </c>
    </row>
    <row r="15" hidden="1" spans="1:10">
      <c r="A15" s="15" t="s">
        <v>23</v>
      </c>
      <c r="B15" s="16">
        <v>0</v>
      </c>
      <c r="C15" s="16">
        <v>0.000698812019566737</v>
      </c>
      <c r="D15" s="16">
        <v>0</v>
      </c>
      <c r="E15" s="16">
        <v>0</v>
      </c>
      <c r="F15" s="16">
        <v>0.000784929356357928</v>
      </c>
      <c r="G15" s="16">
        <v>0</v>
      </c>
      <c r="H15" s="16">
        <v>0.000325520833333333</v>
      </c>
      <c r="I15" s="16">
        <v>0.000165425971877585</v>
      </c>
      <c r="J15" s="16">
        <v>0.000210365773488653</v>
      </c>
    </row>
    <row r="16" hidden="1"/>
    <row r="17" hidden="1"/>
    <row r="18" hidden="1" spans="1:1">
      <c r="A18" s="13" t="s">
        <v>24</v>
      </c>
    </row>
    <row r="19" hidden="1" spans="1:10">
      <c r="A19" s="14" t="s">
        <v>2</v>
      </c>
      <c r="B19" s="14" t="s">
        <v>3</v>
      </c>
      <c r="C19" s="14" t="s">
        <v>4</v>
      </c>
      <c r="D19" s="14" t="s">
        <v>5</v>
      </c>
      <c r="E19" s="14" t="s">
        <v>6</v>
      </c>
      <c r="F19" s="14" t="s">
        <v>7</v>
      </c>
      <c r="G19" s="14" t="s">
        <v>8</v>
      </c>
      <c r="H19" s="14" t="s">
        <v>9</v>
      </c>
      <c r="I19" s="14" t="s">
        <v>10</v>
      </c>
      <c r="J19" s="14" t="s">
        <v>11</v>
      </c>
    </row>
    <row r="20" hidden="1" spans="1:10">
      <c r="A20" t="s">
        <v>12</v>
      </c>
      <c r="B20" s="3">
        <v>0.00686442755577347</v>
      </c>
      <c r="C20" s="3">
        <v>0.0214195716085678</v>
      </c>
      <c r="D20" s="3">
        <v>0.0340594935309079</v>
      </c>
      <c r="E20" s="3">
        <v>0.0457179141201683</v>
      </c>
      <c r="F20" s="3">
        <v>0.0187215460373502</v>
      </c>
      <c r="G20" s="3">
        <v>0.0402234256326419</v>
      </c>
      <c r="H20" s="3">
        <v>0.01181592039801</v>
      </c>
      <c r="I20" s="3">
        <v>0.0228035519073282</v>
      </c>
      <c r="J20" s="3">
        <v>0.0280916439640927</v>
      </c>
    </row>
    <row r="21" hidden="1" spans="1:10">
      <c r="A21" t="s">
        <v>13</v>
      </c>
      <c r="B21" s="3">
        <v>0.0144643294925227</v>
      </c>
      <c r="C21" s="3">
        <v>0.0222595548089038</v>
      </c>
      <c r="D21" s="3">
        <v>0.0540749751188765</v>
      </c>
      <c r="E21" s="3">
        <v>0.0618303039923804</v>
      </c>
      <c r="F21" s="3">
        <v>0.037117903930131</v>
      </c>
      <c r="G21" s="3">
        <v>0.0575934062191342</v>
      </c>
      <c r="H21" s="3">
        <v>0.0289179104477612</v>
      </c>
      <c r="I21" s="3">
        <v>0.0361711513012792</v>
      </c>
      <c r="J21" s="3">
        <v>0.0435368377175353</v>
      </c>
    </row>
    <row r="22" hidden="1" spans="1:10">
      <c r="A22" t="s">
        <v>14</v>
      </c>
      <c r="B22" s="3">
        <v>0.0426575140965923</v>
      </c>
      <c r="C22" s="3">
        <v>0.0432591348173037</v>
      </c>
      <c r="D22" s="3">
        <v>0.0822735817759593</v>
      </c>
      <c r="E22" s="3">
        <v>0.106198904674974</v>
      </c>
      <c r="F22" s="3">
        <v>0.0765585803214717</v>
      </c>
      <c r="G22" s="3">
        <v>0.103709001736998</v>
      </c>
      <c r="H22" s="3">
        <v>0.0730721393034826</v>
      </c>
      <c r="I22" s="3">
        <v>0.0837536679388581</v>
      </c>
      <c r="J22" s="3">
        <v>0.086746162892829</v>
      </c>
    </row>
    <row r="23" hidden="1" spans="1:10">
      <c r="A23" t="s">
        <v>15</v>
      </c>
      <c r="B23" s="3">
        <v>0.0683991174307428</v>
      </c>
      <c r="C23" s="3">
        <v>0.0650986980260395</v>
      </c>
      <c r="D23" s="3">
        <v>0.109145195178591</v>
      </c>
      <c r="E23" s="3">
        <v>0.116199698388761</v>
      </c>
      <c r="F23" s="3">
        <v>0.0962092353433058</v>
      </c>
      <c r="G23" s="3">
        <v>0.116276693573107</v>
      </c>
      <c r="H23" s="3">
        <v>0.185634328358209</v>
      </c>
      <c r="I23" s="3">
        <v>0.119080953568209</v>
      </c>
      <c r="J23" s="3">
        <v>0.112962053205901</v>
      </c>
    </row>
    <row r="24" hidden="1" spans="1:10">
      <c r="A24" t="s">
        <v>16</v>
      </c>
      <c r="B24" s="3">
        <v>0.167197842608482</v>
      </c>
      <c r="C24" s="3">
        <v>0.125997480050399</v>
      </c>
      <c r="D24" s="3">
        <v>0.168306977772863</v>
      </c>
      <c r="E24" s="3">
        <v>0.157710929438844</v>
      </c>
      <c r="F24" s="3">
        <v>0.162036606893989</v>
      </c>
      <c r="G24" s="3">
        <v>0.153707298797725</v>
      </c>
      <c r="H24" s="3">
        <v>0.219216417910448</v>
      </c>
      <c r="I24" s="3">
        <v>0.181987303657391</v>
      </c>
      <c r="J24" s="3">
        <v>0.16886248939306</v>
      </c>
    </row>
    <row r="25" hidden="1" spans="1:10">
      <c r="A25" t="s">
        <v>17</v>
      </c>
      <c r="B25" s="3">
        <v>0.288551115469478</v>
      </c>
      <c r="C25" s="3">
        <v>0.23267534649307</v>
      </c>
      <c r="D25" s="3">
        <v>0.222381952891739</v>
      </c>
      <c r="E25" s="3">
        <v>0.204460671481864</v>
      </c>
      <c r="F25" s="3">
        <v>0.233903186843817</v>
      </c>
      <c r="G25" s="3">
        <v>0.204182418854944</v>
      </c>
      <c r="H25" s="3">
        <v>0.27021144278607</v>
      </c>
      <c r="I25" s="3">
        <v>0.230030110661476</v>
      </c>
      <c r="J25" s="3">
        <v>0.224874577583255</v>
      </c>
    </row>
    <row r="26" hidden="1" spans="1:10">
      <c r="A26" t="s">
        <v>18</v>
      </c>
      <c r="B26" s="3">
        <v>0.240745280706055</v>
      </c>
      <c r="C26" s="3">
        <v>0.263334733305334</v>
      </c>
      <c r="D26" s="3">
        <v>0.181466327546168</v>
      </c>
      <c r="E26" s="3">
        <v>0.167791094531312</v>
      </c>
      <c r="F26" s="3">
        <v>0.20635510545387</v>
      </c>
      <c r="G26" s="3">
        <v>0.169510575252887</v>
      </c>
      <c r="H26" s="3">
        <v>0.162624378109453</v>
      </c>
      <c r="I26" s="3">
        <v>0.190809535682093</v>
      </c>
      <c r="J26" s="3">
        <v>0.187984755779852</v>
      </c>
    </row>
    <row r="27" hidden="1" spans="1:10">
      <c r="A27" t="s">
        <v>19</v>
      </c>
      <c r="B27" s="3">
        <v>0.123069379749939</v>
      </c>
      <c r="C27" s="3">
        <v>0.159596808063839</v>
      </c>
      <c r="D27" s="3">
        <v>0.104832467101626</v>
      </c>
      <c r="E27" s="3">
        <v>0.0942931978728471</v>
      </c>
      <c r="F27" s="3">
        <v>0.117021276595745</v>
      </c>
      <c r="G27" s="3">
        <v>0.10418582473349</v>
      </c>
      <c r="H27" s="3">
        <v>0.0348258706467662</v>
      </c>
      <c r="I27" s="3">
        <v>0.0981185631269059</v>
      </c>
      <c r="J27" s="3">
        <v>0.102898485998839</v>
      </c>
    </row>
    <row r="28" hidden="1" spans="1:10">
      <c r="A28" t="s">
        <v>20</v>
      </c>
      <c r="B28" s="3">
        <v>0.037999509683746</v>
      </c>
      <c r="C28" s="3">
        <v>0.0453590928181436</v>
      </c>
      <c r="D28" s="3">
        <v>0.0299679309963508</v>
      </c>
      <c r="E28" s="3">
        <v>0.0305579807921264</v>
      </c>
      <c r="F28" s="3">
        <v>0.0364675276409923</v>
      </c>
      <c r="G28" s="3">
        <v>0.0342971969619563</v>
      </c>
      <c r="H28" s="3">
        <v>0.0105721393034826</v>
      </c>
      <c r="I28" s="3">
        <v>0.0260447632381427</v>
      </c>
      <c r="J28" s="3">
        <v>0.0305405445640362</v>
      </c>
    </row>
    <row r="29" hidden="1" spans="1:10">
      <c r="A29" t="s">
        <v>21</v>
      </c>
      <c r="B29" s="3">
        <v>0.0075999019367492</v>
      </c>
      <c r="C29" s="3">
        <v>0.0159596808063839</v>
      </c>
      <c r="D29" s="3">
        <v>0.0111688598916289</v>
      </c>
      <c r="E29" s="3">
        <v>0.0119057068021272</v>
      </c>
      <c r="F29" s="3">
        <v>0.012217783145963</v>
      </c>
      <c r="G29" s="3">
        <v>0.012465515479718</v>
      </c>
      <c r="H29" s="3">
        <v>0.00217661691542289</v>
      </c>
      <c r="I29" s="3">
        <v>0.0087071594330757</v>
      </c>
      <c r="J29" s="3">
        <v>0.0104952882854718</v>
      </c>
    </row>
    <row r="30" hidden="1" spans="1:10">
      <c r="A30" t="s">
        <v>22</v>
      </c>
      <c r="B30" s="3">
        <v>0.00196126501593528</v>
      </c>
      <c r="C30" s="3">
        <v>0.00419991600167997</v>
      </c>
      <c r="D30" s="3">
        <v>0.00176932433926794</v>
      </c>
      <c r="E30" s="3">
        <v>0.00261925549646797</v>
      </c>
      <c r="F30" s="3">
        <v>0.00292669330112422</v>
      </c>
      <c r="G30" s="3">
        <v>0.00316746704812506</v>
      </c>
      <c r="H30" s="3">
        <v>0.000932835820895522</v>
      </c>
      <c r="I30" s="3">
        <v>0.0021288429450912</v>
      </c>
      <c r="J30" s="3">
        <v>0.00250844833489646</v>
      </c>
    </row>
    <row r="31" hidden="1" spans="1:10">
      <c r="A31" t="s">
        <v>23</v>
      </c>
      <c r="B31" s="3">
        <v>0.00049031625398382</v>
      </c>
      <c r="C31" s="3">
        <v>0.000839983200335993</v>
      </c>
      <c r="D31" s="3">
        <v>0.000552913856021232</v>
      </c>
      <c r="E31" s="3">
        <v>0.000714342408127629</v>
      </c>
      <c r="F31" s="3">
        <v>0.00046455449224194</v>
      </c>
      <c r="G31" s="3">
        <v>0.000681175709274207</v>
      </c>
      <c r="H31" s="3">
        <v>0</v>
      </c>
      <c r="I31" s="3">
        <v>0.000345217774879653</v>
      </c>
      <c r="J31" s="3">
        <v>0.000491268813362512</v>
      </c>
    </row>
    <row r="32" hidden="1" spans="1:10">
      <c r="A32" s="15" t="s">
        <v>25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1.91787652710918e-5</v>
      </c>
      <c r="J32" s="16">
        <v>7.44346686912897e-6</v>
      </c>
    </row>
    <row r="33" hidden="1"/>
    <row r="34" hidden="1" spans="1:1">
      <c r="A34" s="13" t="s">
        <v>26</v>
      </c>
    </row>
    <row r="35" hidden="1" spans="1:10">
      <c r="A35" s="14" t="s">
        <v>2</v>
      </c>
      <c r="B35" s="14" t="s">
        <v>3</v>
      </c>
      <c r="C35" s="14" t="s">
        <v>4</v>
      </c>
      <c r="D35" s="14" t="s">
        <v>5</v>
      </c>
      <c r="E35" s="14" t="s">
        <v>6</v>
      </c>
      <c r="F35" s="14" t="s">
        <v>7</v>
      </c>
      <c r="G35" s="14" t="s">
        <v>8</v>
      </c>
      <c r="H35" s="14" t="s">
        <v>9</v>
      </c>
      <c r="I35" s="14" t="s">
        <v>10</v>
      </c>
      <c r="J35" s="14" t="s">
        <v>11</v>
      </c>
    </row>
    <row r="36" hidden="1" spans="1:10">
      <c r="A36" t="s">
        <v>12</v>
      </c>
      <c r="B36" s="3">
        <v>0.00677678949597628</v>
      </c>
      <c r="C36" s="3">
        <v>0.0175171363290175</v>
      </c>
      <c r="D36" s="3">
        <v>0.045592962273727</v>
      </c>
      <c r="E36" s="3">
        <v>0.050198478332782</v>
      </c>
      <c r="F36" s="3">
        <v>0.00826915281718687</v>
      </c>
      <c r="G36" s="3">
        <v>0.027047043488565</v>
      </c>
      <c r="H36" s="3">
        <v>0.0413898824731732</v>
      </c>
      <c r="I36" s="3">
        <v>0.0201201594639615</v>
      </c>
      <c r="J36" s="3">
        <v>0.0240005308383929</v>
      </c>
    </row>
    <row r="37" hidden="1" spans="1:10">
      <c r="A37" t="s">
        <v>13</v>
      </c>
      <c r="B37" s="3">
        <v>0.0169419737399407</v>
      </c>
      <c r="C37" s="3">
        <v>0.0215790809850216</v>
      </c>
      <c r="D37" s="3">
        <v>0.0491456606327187</v>
      </c>
      <c r="E37" s="3">
        <v>0.0573933178961297</v>
      </c>
      <c r="F37" s="3">
        <v>0.0147547628698825</v>
      </c>
      <c r="G37" s="3">
        <v>0.0421258442943477</v>
      </c>
      <c r="H37" s="3">
        <v>0.0370464997445069</v>
      </c>
      <c r="I37" s="3">
        <v>0.0285612682251212</v>
      </c>
      <c r="J37" s="3">
        <v>0.0327593643210245</v>
      </c>
    </row>
    <row r="38" hidden="1" spans="1:10">
      <c r="A38" t="s">
        <v>14</v>
      </c>
      <c r="B38" s="3">
        <v>0.046872794013836</v>
      </c>
      <c r="C38" s="3">
        <v>0.0416349327240416</v>
      </c>
      <c r="D38" s="3">
        <v>0.0962612079174421</v>
      </c>
      <c r="E38" s="3">
        <v>0.0916308303010255</v>
      </c>
      <c r="F38" s="3">
        <v>0.0411025537089582</v>
      </c>
      <c r="G38" s="3">
        <v>0.0747126436781609</v>
      </c>
      <c r="H38" s="3">
        <v>0.0769034236075626</v>
      </c>
      <c r="I38" s="3">
        <v>0.0698122742330944</v>
      </c>
      <c r="J38" s="3">
        <v>0.0684051624033708</v>
      </c>
    </row>
    <row r="39" hidden="1" spans="1:10">
      <c r="A39" t="s">
        <v>15</v>
      </c>
      <c r="B39" s="3">
        <v>0.0835804037837075</v>
      </c>
      <c r="C39" s="3">
        <v>0.0652449860370653</v>
      </c>
      <c r="D39" s="3">
        <v>0.117492810015226</v>
      </c>
      <c r="E39" s="3">
        <v>0.113959642739001</v>
      </c>
      <c r="F39" s="3">
        <v>0.075030401297122</v>
      </c>
      <c r="G39" s="3">
        <v>0.101256072994431</v>
      </c>
      <c r="H39" s="3">
        <v>0.121614716402657</v>
      </c>
      <c r="I39" s="3">
        <v>0.109453667483951</v>
      </c>
      <c r="J39" s="3">
        <v>0.100919013967685</v>
      </c>
    </row>
    <row r="40" hidden="1" spans="1:10">
      <c r="A40" t="s">
        <v>16</v>
      </c>
      <c r="B40" s="3">
        <v>0.172102216574898</v>
      </c>
      <c r="C40" s="3">
        <v>0.138613861386139</v>
      </c>
      <c r="D40" s="3">
        <v>0.171629165961766</v>
      </c>
      <c r="E40" s="3">
        <v>0.153076414158121</v>
      </c>
      <c r="F40" s="3">
        <v>0.164329144710174</v>
      </c>
      <c r="G40" s="3">
        <v>0.149632657897855</v>
      </c>
      <c r="H40" s="3">
        <v>0.180889115993868</v>
      </c>
      <c r="I40" s="3">
        <v>0.181511913006045</v>
      </c>
      <c r="J40" s="3">
        <v>0.166922132643243</v>
      </c>
    </row>
    <row r="41" hidden="1" spans="1:10">
      <c r="A41" t="s">
        <v>17</v>
      </c>
      <c r="B41" s="3">
        <v>0.262035860511083</v>
      </c>
      <c r="C41" s="3">
        <v>0.231530845392232</v>
      </c>
      <c r="D41" s="3">
        <v>0.219336829639655</v>
      </c>
      <c r="E41" s="3">
        <v>0.212619913992722</v>
      </c>
      <c r="F41" s="3">
        <v>0.279286582894204</v>
      </c>
      <c r="G41" s="3">
        <v>0.212999170517834</v>
      </c>
      <c r="H41" s="3">
        <v>0.248850281042412</v>
      </c>
      <c r="I41" s="3">
        <v>0.246345617548522</v>
      </c>
      <c r="J41" s="3">
        <v>0.239859327825885</v>
      </c>
    </row>
    <row r="42" hidden="1" spans="1:10">
      <c r="A42" t="s">
        <v>18</v>
      </c>
      <c r="B42" s="3">
        <v>0.225045884512212</v>
      </c>
      <c r="C42" s="3">
        <v>0.259202843361259</v>
      </c>
      <c r="D42" s="3">
        <v>0.167399763153443</v>
      </c>
      <c r="E42" s="3">
        <v>0.164737016209064</v>
      </c>
      <c r="F42" s="3">
        <v>0.237981353871099</v>
      </c>
      <c r="G42" s="3">
        <v>0.191136390567603</v>
      </c>
      <c r="H42" s="3">
        <v>0.187020950434338</v>
      </c>
      <c r="I42" s="3">
        <v>0.199872728293623</v>
      </c>
      <c r="J42" s="3">
        <v>0.201187750904084</v>
      </c>
    </row>
    <row r="43" hidden="1" spans="1:10">
      <c r="A43" t="s">
        <v>19</v>
      </c>
      <c r="B43" s="3">
        <v>0.12565297190456</v>
      </c>
      <c r="C43" s="3">
        <v>0.144452906829144</v>
      </c>
      <c r="D43" s="3">
        <v>0.0912705126036204</v>
      </c>
      <c r="E43" s="3">
        <v>0.101802844856103</v>
      </c>
      <c r="F43" s="3">
        <v>0.126631536278881</v>
      </c>
      <c r="G43" s="3">
        <v>0.121904254058538</v>
      </c>
      <c r="H43" s="3">
        <v>0.0671946857434849</v>
      </c>
      <c r="I43" s="3">
        <v>0.100993842295383</v>
      </c>
      <c r="J43" s="3">
        <v>0.110593543678047</v>
      </c>
    </row>
    <row r="44" hidden="1" spans="1:10">
      <c r="A44" t="s">
        <v>20</v>
      </c>
      <c r="B44" s="3">
        <v>0.0426373005788508</v>
      </c>
      <c r="C44" s="3">
        <v>0.0507743082000508</v>
      </c>
      <c r="D44" s="3">
        <v>0.0304517002199289</v>
      </c>
      <c r="E44" s="3">
        <v>0.0382897783658617</v>
      </c>
      <c r="F44" s="3">
        <v>0.0382650993109039</v>
      </c>
      <c r="G44" s="3">
        <v>0.0532053560848442</v>
      </c>
      <c r="H44" s="3">
        <v>0.0265712825753705</v>
      </c>
      <c r="I44" s="3">
        <v>0.029497089595538</v>
      </c>
      <c r="J44" s="3">
        <v>0.0381208320891809</v>
      </c>
    </row>
    <row r="45" hidden="1" spans="1:10">
      <c r="A45" t="s">
        <v>21</v>
      </c>
      <c r="B45" s="3">
        <v>0.0138359452209516</v>
      </c>
      <c r="C45" s="3">
        <v>0.0238639248540239</v>
      </c>
      <c r="D45" s="3">
        <v>0.00955845034681103</v>
      </c>
      <c r="E45" s="3">
        <v>0.0129010916308303</v>
      </c>
      <c r="F45" s="3">
        <v>0.0117957032833401</v>
      </c>
      <c r="G45" s="3">
        <v>0.0203815617964214</v>
      </c>
      <c r="H45" s="3">
        <v>0.00894225855901891</v>
      </c>
      <c r="I45" s="3">
        <v>0.0109303936064684</v>
      </c>
      <c r="J45" s="3">
        <v>0.0136624531369231</v>
      </c>
    </row>
    <row r="46" hidden="1" spans="1:10">
      <c r="A46" t="s">
        <v>22</v>
      </c>
      <c r="B46" s="3">
        <v>0.00381194409148666</v>
      </c>
      <c r="C46" s="3">
        <v>0.00431581619700432</v>
      </c>
      <c r="D46" s="3">
        <v>0.00160717306716292</v>
      </c>
      <c r="E46" s="3">
        <v>0.00272907707575256</v>
      </c>
      <c r="F46" s="3">
        <v>0.00226996351844345</v>
      </c>
      <c r="G46" s="3">
        <v>0.00423628391989572</v>
      </c>
      <c r="H46" s="3">
        <v>0.00306591722023505</v>
      </c>
      <c r="I46" s="3">
        <v>0.0023208369986337</v>
      </c>
      <c r="J46" s="3">
        <v>0.00285989184167745</v>
      </c>
    </row>
    <row r="47" hidden="1" spans="1:10">
      <c r="A47" t="s">
        <v>23</v>
      </c>
      <c r="B47" s="3">
        <v>0.000705915572497529</v>
      </c>
      <c r="C47" s="3">
        <v>0.00126935770500127</v>
      </c>
      <c r="D47" s="3">
        <v>0.000253764168499408</v>
      </c>
      <c r="E47" s="3">
        <v>0.000578895137280847</v>
      </c>
      <c r="F47" s="3">
        <v>0.000283745439805432</v>
      </c>
      <c r="G47" s="3">
        <v>0.00136272070150492</v>
      </c>
      <c r="H47" s="3">
        <v>0.000510986203372509</v>
      </c>
      <c r="I47" s="3">
        <v>0.000561492822250089</v>
      </c>
      <c r="J47" s="3">
        <v>0.00069672539066388</v>
      </c>
    </row>
    <row r="48" hidden="1" spans="1:10">
      <c r="A48" s="15" t="s">
        <v>25</v>
      </c>
      <c r="B48" s="16">
        <v>0</v>
      </c>
      <c r="C48" s="16">
        <v>0</v>
      </c>
      <c r="D48" s="16">
        <v>0</v>
      </c>
      <c r="E48" s="16">
        <v>8.26993053258353e-5</v>
      </c>
      <c r="F48" s="16">
        <v>0</v>
      </c>
      <c r="G48" s="16">
        <v>0</v>
      </c>
      <c r="H48" s="16">
        <v>0</v>
      </c>
      <c r="I48" s="16">
        <v>1.87164274083363e-5</v>
      </c>
      <c r="J48" s="16">
        <v>1.32709598221691e-5</v>
      </c>
    </row>
    <row r="49" hidden="1"/>
    <row r="51" spans="1:1">
      <c r="A51" s="13" t="s">
        <v>27</v>
      </c>
    </row>
    <row r="52" spans="1:10">
      <c r="A52" s="14" t="s">
        <v>28</v>
      </c>
      <c r="B52" s="14" t="s">
        <v>29</v>
      </c>
      <c r="C52" s="14"/>
      <c r="D52" s="14"/>
      <c r="E52" s="14"/>
      <c r="F52" s="14"/>
      <c r="G52" s="14"/>
      <c r="H52" s="14"/>
      <c r="I52" s="14"/>
      <c r="J52" s="14"/>
    </row>
    <row r="53" spans="1:10">
      <c r="A53" s="14" t="s">
        <v>2</v>
      </c>
      <c r="B53" s="14" t="s">
        <v>30</v>
      </c>
      <c r="C53" s="14" t="s">
        <v>31</v>
      </c>
      <c r="D53" s="14" t="s">
        <v>32</v>
      </c>
      <c r="E53" s="14" t="s">
        <v>33</v>
      </c>
      <c r="F53" s="14" t="s">
        <v>34</v>
      </c>
      <c r="G53" s="14" t="s">
        <v>35</v>
      </c>
      <c r="H53" s="14" t="s">
        <v>36</v>
      </c>
      <c r="I53" s="14" t="s">
        <v>37</v>
      </c>
      <c r="J53" s="14" t="s">
        <v>11</v>
      </c>
    </row>
    <row r="54" spans="1:10">
      <c r="A54" t="s">
        <v>12</v>
      </c>
      <c r="B54" s="3">
        <v>0.00673400673400673</v>
      </c>
      <c r="C54" s="3">
        <v>0.0205134821313379</v>
      </c>
      <c r="D54" s="3">
        <v>0.0405709632610049</v>
      </c>
      <c r="E54" s="3">
        <v>0.0471224262873356</v>
      </c>
      <c r="F54" s="3">
        <v>0.0129344849378555</v>
      </c>
      <c r="G54" s="3">
        <v>0.0334012412943573</v>
      </c>
      <c r="H54" s="3">
        <v>0.0244069790237208</v>
      </c>
      <c r="I54" s="3">
        <v>0.0219374792886336</v>
      </c>
      <c r="J54" s="3">
        <v>0.0255973752630927</v>
      </c>
    </row>
    <row r="55" spans="1:10">
      <c r="A55" t="s">
        <v>13</v>
      </c>
      <c r="B55" s="3">
        <v>0.0157990157990158</v>
      </c>
      <c r="C55" s="3">
        <v>0.0230937943491162</v>
      </c>
      <c r="D55" s="3">
        <v>0.0512525746036308</v>
      </c>
      <c r="E55" s="3">
        <v>0.0590084736014723</v>
      </c>
      <c r="F55" s="3">
        <v>0.0252791236570466</v>
      </c>
      <c r="G55" s="3">
        <v>0.0494780562530598</v>
      </c>
      <c r="H55" s="3">
        <v>0.0297980788080769</v>
      </c>
      <c r="I55" s="3">
        <v>0.034036599285688</v>
      </c>
      <c r="J55" s="3">
        <v>0.0378544013866535</v>
      </c>
    </row>
    <row r="56" spans="1:10">
      <c r="A56" t="s">
        <v>14</v>
      </c>
      <c r="B56" s="3">
        <v>0.0448070448070448</v>
      </c>
      <c r="C56" s="3">
        <v>0.0443813701457876</v>
      </c>
      <c r="D56" s="3">
        <v>0.0902428509843368</v>
      </c>
      <c r="E56" s="3">
        <v>0.0991526398527664</v>
      </c>
      <c r="F56" s="3">
        <v>0.0576364019380662</v>
      </c>
      <c r="G56" s="3">
        <v>0.0887541258034459</v>
      </c>
      <c r="H56" s="3">
        <v>0.0777298568908057</v>
      </c>
      <c r="I56" s="3">
        <v>0.078265031849479</v>
      </c>
      <c r="J56" s="3">
        <v>0.0777206883743964</v>
      </c>
    </row>
    <row r="57" spans="1:10">
      <c r="A57" t="s">
        <v>15</v>
      </c>
      <c r="B57" s="3">
        <v>0.0768367435034102</v>
      </c>
      <c r="C57" s="3">
        <v>0.0661850083860147</v>
      </c>
      <c r="D57" s="3">
        <v>0.11395315418882</v>
      </c>
      <c r="E57" s="3">
        <v>0.113991027951382</v>
      </c>
      <c r="F57" s="3">
        <v>0.0850853170423425</v>
      </c>
      <c r="G57" s="3">
        <v>0.108131583518896</v>
      </c>
      <c r="H57" s="3">
        <v>0.159674573613017</v>
      </c>
      <c r="I57" s="3">
        <v>0.115703818255459</v>
      </c>
      <c r="J57" s="3">
        <v>0.108276587842021</v>
      </c>
    </row>
    <row r="58" spans="1:10">
      <c r="A58" t="s">
        <v>16</v>
      </c>
      <c r="B58" s="3">
        <v>0.172062505395839</v>
      </c>
      <c r="C58" s="3">
        <v>0.13585343826603</v>
      </c>
      <c r="D58" s="3">
        <v>0.170091488240648</v>
      </c>
      <c r="E58" s="3">
        <v>0.155515509374641</v>
      </c>
      <c r="F58" s="3">
        <v>0.163029281651569</v>
      </c>
      <c r="G58" s="3">
        <v>0.151434753083495</v>
      </c>
      <c r="H58" s="3">
        <v>0.207214271711429</v>
      </c>
      <c r="I58" s="3">
        <v>0.181597260576604</v>
      </c>
      <c r="J58" s="3">
        <v>0.169478147827164</v>
      </c>
    </row>
    <row r="59" spans="1:10">
      <c r="A59" t="s">
        <v>17</v>
      </c>
      <c r="B59" s="3">
        <v>0.272381939048606</v>
      </c>
      <c r="C59" s="3">
        <v>0.232615146432718</v>
      </c>
      <c r="D59" s="3">
        <v>0.220721368012646</v>
      </c>
      <c r="E59" s="3">
        <v>0.209539511521797</v>
      </c>
      <c r="F59" s="3">
        <v>0.257425742574257</v>
      </c>
      <c r="G59" s="3">
        <v>0.208698536030701</v>
      </c>
      <c r="H59" s="3">
        <v>0.268280729268771</v>
      </c>
      <c r="I59" s="3">
        <v>0.235560955852572</v>
      </c>
      <c r="J59" s="3">
        <v>0.232731831125418</v>
      </c>
    </row>
    <row r="60" spans="1:10">
      <c r="A60" t="s">
        <v>18</v>
      </c>
      <c r="B60" s="3">
        <v>0.232064232064232</v>
      </c>
      <c r="C60" s="3">
        <v>0.257257128112502</v>
      </c>
      <c r="D60" s="3">
        <v>0.173444460410979</v>
      </c>
      <c r="E60" s="3">
        <v>0.168590161420191</v>
      </c>
      <c r="F60" s="3">
        <v>0.223130398146198</v>
      </c>
      <c r="G60" s="3">
        <v>0.180935234756242</v>
      </c>
      <c r="H60" s="3">
        <v>0.1715349931386</v>
      </c>
      <c r="I60" s="3">
        <v>0.194418056629478</v>
      </c>
      <c r="J60" s="3">
        <v>0.194688622013124</v>
      </c>
    </row>
    <row r="61" spans="1:10">
      <c r="A61" t="s">
        <v>19</v>
      </c>
      <c r="B61" s="3">
        <v>0.123802123802124</v>
      </c>
      <c r="C61" s="3">
        <v>0.147206812024255</v>
      </c>
      <c r="D61" s="3">
        <v>0.0971882933371653</v>
      </c>
      <c r="E61" s="3">
        <v>0.0976189563283616</v>
      </c>
      <c r="F61" s="3">
        <v>0.122519485991152</v>
      </c>
      <c r="G61" s="3">
        <v>0.113406294910061</v>
      </c>
      <c r="H61" s="3">
        <v>0.0407763183689473</v>
      </c>
      <c r="I61" s="3">
        <v>0.099075812806068</v>
      </c>
      <c r="J61" s="3">
        <v>0.105289711526557</v>
      </c>
    </row>
    <row r="62" spans="1:10">
      <c r="A62" t="s">
        <v>20</v>
      </c>
      <c r="B62" s="3">
        <v>0.0403177069843737</v>
      </c>
      <c r="C62" s="3">
        <v>0.0477357760288995</v>
      </c>
      <c r="D62" s="3">
        <v>0.0302246491354122</v>
      </c>
      <c r="E62" s="3">
        <v>0.0339327479774549</v>
      </c>
      <c r="F62" s="3">
        <v>0.0378133558036655</v>
      </c>
      <c r="G62" s="3">
        <v>0.0443296852544969</v>
      </c>
      <c r="H62" s="3">
        <v>0.0145069594197216</v>
      </c>
      <c r="I62" s="3">
        <v>0.0273353216245075</v>
      </c>
      <c r="J62" s="3">
        <v>0.0334746811935124</v>
      </c>
    </row>
    <row r="63" spans="1:10">
      <c r="A63" t="s">
        <v>21</v>
      </c>
      <c r="B63" s="3">
        <v>0.0115686782353449</v>
      </c>
      <c r="C63" s="3">
        <v>0.0193523416333376</v>
      </c>
      <c r="D63" s="3">
        <v>0.0102505149207262</v>
      </c>
      <c r="E63" s="3">
        <v>0.0122694681952379</v>
      </c>
      <c r="F63" s="3">
        <v>0.0121761112281441</v>
      </c>
      <c r="G63" s="3">
        <v>0.0166611392744903</v>
      </c>
      <c r="H63" s="3">
        <v>0.00421485983140561</v>
      </c>
      <c r="I63" s="3">
        <v>0.00948488530505542</v>
      </c>
      <c r="J63" s="3">
        <v>0.0117060789897239</v>
      </c>
    </row>
    <row r="64" spans="1:10">
      <c r="A64" t="s">
        <v>22</v>
      </c>
      <c r="B64" s="3">
        <v>0.00302166968833636</v>
      </c>
      <c r="C64" s="3">
        <v>0.00477357760288995</v>
      </c>
      <c r="D64" s="3">
        <v>0.00167648608516549</v>
      </c>
      <c r="E64" s="3">
        <v>0.00260726199148806</v>
      </c>
      <c r="F64" s="3">
        <v>0.00259111017484727</v>
      </c>
      <c r="G64" s="3">
        <v>0.00372704158178172</v>
      </c>
      <c r="H64" s="3">
        <v>0.0015683199372672</v>
      </c>
      <c r="I64" s="3">
        <v>0.00217975625023013</v>
      </c>
      <c r="J64" s="3">
        <v>0.00261854649003343</v>
      </c>
    </row>
    <row r="65" spans="1:10">
      <c r="A65" t="s">
        <v>23</v>
      </c>
      <c r="B65" s="3">
        <v>0.000604333937667271</v>
      </c>
      <c r="C65" s="3">
        <v>0.00103212488711134</v>
      </c>
      <c r="D65" s="3">
        <v>0.000383196819466398</v>
      </c>
      <c r="E65" s="3">
        <v>0.000613473409761896</v>
      </c>
      <c r="F65" s="3">
        <v>0.000379186854855698</v>
      </c>
      <c r="G65" s="3">
        <v>0.00104230823897285</v>
      </c>
      <c r="H65" s="3">
        <v>0.000294059988237601</v>
      </c>
      <c r="I65" s="3">
        <v>0.000390294193453367</v>
      </c>
      <c r="J65" s="3">
        <v>0.000554042342453881</v>
      </c>
    </row>
    <row r="66" spans="1:10">
      <c r="A66" s="15" t="s">
        <v>25</v>
      </c>
      <c r="B66" s="16">
        <v>0</v>
      </c>
      <c r="C66" s="16">
        <v>0</v>
      </c>
      <c r="D66" s="16">
        <v>0</v>
      </c>
      <c r="E66" s="16">
        <v>3.83420881101185e-5</v>
      </c>
      <c r="F66" s="16">
        <v>0</v>
      </c>
      <c r="G66" s="16">
        <v>0</v>
      </c>
      <c r="H66" s="16">
        <v>0</v>
      </c>
      <c r="I66" s="16">
        <v>1.47280827718252e-5</v>
      </c>
      <c r="J66" s="16">
        <v>9.28562585118237e-6</v>
      </c>
    </row>
    <row r="67" spans="1:10">
      <c r="A67" s="17" t="s">
        <v>11</v>
      </c>
      <c r="B67" s="18">
        <v>1</v>
      </c>
      <c r="C67" s="18">
        <v>1</v>
      </c>
      <c r="D67" s="18">
        <v>1</v>
      </c>
      <c r="E67" s="18">
        <v>1</v>
      </c>
      <c r="F67" s="18">
        <v>1</v>
      </c>
      <c r="G67" s="18">
        <v>1</v>
      </c>
      <c r="H67" s="18">
        <v>1</v>
      </c>
      <c r="I67" s="18">
        <v>1</v>
      </c>
      <c r="J67" s="18">
        <v>1</v>
      </c>
    </row>
    <row r="74" spans="1:18">
      <c r="A74" t="s">
        <v>29</v>
      </c>
      <c r="B74" t="s">
        <v>38</v>
      </c>
      <c r="C74" t="s">
        <v>39</v>
      </c>
      <c r="D74" t="s">
        <v>40</v>
      </c>
      <c r="F74" s="14" t="s">
        <v>28</v>
      </c>
      <c r="G74" s="14" t="s">
        <v>41</v>
      </c>
      <c r="H74" s="14"/>
      <c r="I74" s="14"/>
      <c r="L74" t="s">
        <v>28</v>
      </c>
      <c r="M74" t="s">
        <v>42</v>
      </c>
      <c r="Q74" t="s">
        <v>28</v>
      </c>
      <c r="R74" t="s">
        <v>43</v>
      </c>
    </row>
    <row r="75" spans="1:22">
      <c r="A75" t="s">
        <v>3</v>
      </c>
      <c r="B75">
        <v>11583</v>
      </c>
      <c r="C75">
        <v>10127</v>
      </c>
      <c r="D75" s="12">
        <v>0.874298540965208</v>
      </c>
      <c r="F75" s="14" t="s">
        <v>29</v>
      </c>
      <c r="G75" s="14" t="s">
        <v>44</v>
      </c>
      <c r="H75" s="14" t="s">
        <v>45</v>
      </c>
      <c r="I75" s="14" t="s">
        <v>11</v>
      </c>
      <c r="L75" t="s">
        <v>29</v>
      </c>
      <c r="M75">
        <v>0</v>
      </c>
      <c r="N75">
        <v>1</v>
      </c>
      <c r="O75" t="s">
        <v>11</v>
      </c>
      <c r="Q75" t="s">
        <v>29</v>
      </c>
      <c r="R75">
        <v>1</v>
      </c>
      <c r="S75">
        <v>2</v>
      </c>
      <c r="T75">
        <v>3</v>
      </c>
      <c r="U75">
        <v>4</v>
      </c>
      <c r="V75" t="s">
        <v>11</v>
      </c>
    </row>
    <row r="76" spans="1:22">
      <c r="A76" t="s">
        <v>4</v>
      </c>
      <c r="B76">
        <v>7751</v>
      </c>
      <c r="C76">
        <v>5341</v>
      </c>
      <c r="D76" s="12">
        <v>0.689072377757709</v>
      </c>
      <c r="F76" t="s">
        <v>3</v>
      </c>
      <c r="G76" s="3">
        <v>0.727531727531728</v>
      </c>
      <c r="H76" s="3">
        <v>0.272468272468273</v>
      </c>
      <c r="I76" s="3">
        <v>1</v>
      </c>
      <c r="L76" t="s">
        <v>3</v>
      </c>
      <c r="M76" s="3">
        <v>0.0871967538634205</v>
      </c>
      <c r="N76" s="3">
        <v>0.91280324613658</v>
      </c>
      <c r="O76" s="3">
        <v>1</v>
      </c>
      <c r="Q76" t="s">
        <v>3</v>
      </c>
      <c r="R76" s="3">
        <v>0.944660277993611</v>
      </c>
      <c r="S76" s="3">
        <v>0.0425623758957092</v>
      </c>
      <c r="T76" s="3">
        <v>0.00466200466200466</v>
      </c>
      <c r="U76" s="3">
        <v>0.00811534144867478</v>
      </c>
      <c r="V76" s="3">
        <v>1</v>
      </c>
    </row>
    <row r="77" spans="1:22">
      <c r="A77" t="s">
        <v>5</v>
      </c>
      <c r="B77">
        <v>20877</v>
      </c>
      <c r="C77">
        <v>13612</v>
      </c>
      <c r="D77" s="12">
        <v>0.652009388322077</v>
      </c>
      <c r="F77" t="s">
        <v>4</v>
      </c>
      <c r="G77" s="3">
        <v>0.587795123209909</v>
      </c>
      <c r="H77" s="3">
        <v>0.412204876790092</v>
      </c>
      <c r="I77" s="3">
        <v>1</v>
      </c>
      <c r="L77" t="s">
        <v>4</v>
      </c>
      <c r="M77" s="3">
        <v>0.165268997548703</v>
      </c>
      <c r="N77" s="3">
        <v>0.834731002451297</v>
      </c>
      <c r="O77" s="3">
        <v>1</v>
      </c>
      <c r="Q77" t="s">
        <v>4</v>
      </c>
      <c r="R77" s="3">
        <v>0.865694749064637</v>
      </c>
      <c r="S77" s="3">
        <v>0.0897948651786866</v>
      </c>
      <c r="T77" s="3">
        <v>0.0157399045284479</v>
      </c>
      <c r="U77" s="3">
        <v>0.0287704812282286</v>
      </c>
      <c r="V77" s="3">
        <v>1</v>
      </c>
    </row>
    <row r="78" spans="1:22">
      <c r="A78" t="s">
        <v>6</v>
      </c>
      <c r="B78">
        <v>26081</v>
      </c>
      <c r="C78">
        <v>19810</v>
      </c>
      <c r="D78" s="12">
        <v>0.759556765461447</v>
      </c>
      <c r="F78" t="s">
        <v>5</v>
      </c>
      <c r="G78" s="3">
        <v>0.676533984767927</v>
      </c>
      <c r="H78" s="3">
        <v>0.323466015232074</v>
      </c>
      <c r="I78" s="3">
        <v>1</v>
      </c>
      <c r="L78" t="s">
        <v>5</v>
      </c>
      <c r="M78" s="3">
        <v>0.111606073669589</v>
      </c>
      <c r="N78" s="3">
        <v>0.888393926330412</v>
      </c>
      <c r="O78" s="3">
        <v>1</v>
      </c>
      <c r="Q78" t="s">
        <v>5</v>
      </c>
      <c r="R78" s="3">
        <v>0.860564257316664</v>
      </c>
      <c r="S78" s="3">
        <v>0.0917756382622024</v>
      </c>
      <c r="T78" s="3">
        <v>0.0166690616467883</v>
      </c>
      <c r="U78" s="3">
        <v>0.030991042774345</v>
      </c>
      <c r="V78" s="3">
        <v>1</v>
      </c>
    </row>
    <row r="79" spans="1:22">
      <c r="A79" t="s">
        <v>7</v>
      </c>
      <c r="B79">
        <v>47470</v>
      </c>
      <c r="C79">
        <v>38266</v>
      </c>
      <c r="D79" s="12">
        <v>0.806109121550453</v>
      </c>
      <c r="F79" t="s">
        <v>6</v>
      </c>
      <c r="G79" s="3">
        <v>0.712932786319543</v>
      </c>
      <c r="H79" s="3">
        <v>0.287067213680457</v>
      </c>
      <c r="I79" s="3">
        <v>1</v>
      </c>
      <c r="L79" t="s">
        <v>6</v>
      </c>
      <c r="M79" s="3">
        <v>0.108814846056516</v>
      </c>
      <c r="N79" s="3">
        <v>0.891185153943484</v>
      </c>
      <c r="O79" s="3">
        <v>1</v>
      </c>
      <c r="Q79" t="s">
        <v>6</v>
      </c>
      <c r="R79" s="3">
        <v>0.897089835512442</v>
      </c>
      <c r="S79" s="3">
        <v>0.069245811126874</v>
      </c>
      <c r="T79" s="3">
        <v>0.0126912311644492</v>
      </c>
      <c r="U79" s="3">
        <v>0.0209731221962348</v>
      </c>
      <c r="V79" s="3">
        <v>1</v>
      </c>
    </row>
    <row r="80" spans="1:22">
      <c r="A80" t="s">
        <v>8</v>
      </c>
      <c r="B80">
        <v>63321</v>
      </c>
      <c r="C80">
        <v>52023</v>
      </c>
      <c r="D80" s="12">
        <v>0.821575780546738</v>
      </c>
      <c r="F80" t="s">
        <v>7</v>
      </c>
      <c r="G80" s="3">
        <v>0.705034758795028</v>
      </c>
      <c r="H80" s="3">
        <v>0.294965241204972</v>
      </c>
      <c r="I80" s="3">
        <v>1</v>
      </c>
      <c r="L80" t="s">
        <v>7</v>
      </c>
      <c r="M80" s="3">
        <v>0.104065725721508</v>
      </c>
      <c r="N80" s="3">
        <v>0.895934274278492</v>
      </c>
      <c r="O80" s="3">
        <v>1</v>
      </c>
      <c r="Q80" t="s">
        <v>7</v>
      </c>
      <c r="R80" s="3">
        <v>0.919443859279545</v>
      </c>
      <c r="S80" s="3">
        <v>0.0582051822203497</v>
      </c>
      <c r="T80" s="3">
        <v>0.00636191278702338</v>
      </c>
      <c r="U80" s="3">
        <v>0.0159890457130819</v>
      </c>
      <c r="V80" s="3">
        <v>1</v>
      </c>
    </row>
    <row r="81" spans="1:22">
      <c r="A81" t="s">
        <v>9</v>
      </c>
      <c r="B81">
        <v>10202</v>
      </c>
      <c r="C81">
        <v>8539</v>
      </c>
      <c r="D81" s="12">
        <v>0.83699274652029</v>
      </c>
      <c r="F81" t="s">
        <v>8</v>
      </c>
      <c r="G81" s="3">
        <v>0.744065949684939</v>
      </c>
      <c r="H81" s="3">
        <v>0.255934050315061</v>
      </c>
      <c r="I81" s="3">
        <v>1</v>
      </c>
      <c r="L81" t="s">
        <v>8</v>
      </c>
      <c r="M81" s="3">
        <v>0.108668530187458</v>
      </c>
      <c r="N81" s="3">
        <v>0.891331469812542</v>
      </c>
      <c r="O81" s="3">
        <v>1</v>
      </c>
      <c r="Q81" t="s">
        <v>8</v>
      </c>
      <c r="R81" s="3">
        <v>0.917136495001658</v>
      </c>
      <c r="S81" s="3">
        <v>0.0582745060880277</v>
      </c>
      <c r="T81" s="3">
        <v>0.00977558787763933</v>
      </c>
      <c r="U81" s="3">
        <v>0.0148134110326748</v>
      </c>
      <c r="V81" s="3">
        <v>1</v>
      </c>
    </row>
    <row r="82" spans="1:22">
      <c r="A82" t="s">
        <v>10</v>
      </c>
      <c r="B82">
        <v>135795</v>
      </c>
      <c r="C82">
        <v>101159</v>
      </c>
      <c r="D82" s="12">
        <v>0.744939062557532</v>
      </c>
      <c r="F82" t="s">
        <v>9</v>
      </c>
      <c r="G82" s="3">
        <v>0.72799451088022</v>
      </c>
      <c r="H82" s="3">
        <v>0.27200548911978</v>
      </c>
      <c r="I82" s="3">
        <v>1</v>
      </c>
      <c r="L82" t="s">
        <v>9</v>
      </c>
      <c r="M82" s="3">
        <v>0.0968437561262498</v>
      </c>
      <c r="N82" s="3">
        <v>0.90315624387375</v>
      </c>
      <c r="O82" s="3">
        <v>1</v>
      </c>
      <c r="Q82" t="s">
        <v>9</v>
      </c>
      <c r="R82" s="3">
        <v>0.921485983140561</v>
      </c>
      <c r="S82" s="3">
        <v>0.0579298176828073</v>
      </c>
      <c r="T82" s="3">
        <v>0.00578317976867281</v>
      </c>
      <c r="U82" s="3">
        <v>0.0148010194079592</v>
      </c>
      <c r="V82" s="3">
        <v>1</v>
      </c>
    </row>
    <row r="83" spans="1:22">
      <c r="A83" t="s">
        <v>11</v>
      </c>
      <c r="B83">
        <v>323080</v>
      </c>
      <c r="C83">
        <v>248877</v>
      </c>
      <c r="D83" s="12">
        <v>0.770326234988238</v>
      </c>
      <c r="F83" s="15" t="s">
        <v>10</v>
      </c>
      <c r="G83" s="16">
        <v>0.638977871055635</v>
      </c>
      <c r="H83" s="16">
        <v>0.361022128944365</v>
      </c>
      <c r="I83" s="16">
        <v>1</v>
      </c>
      <c r="L83" t="s">
        <v>10</v>
      </c>
      <c r="M83" s="3">
        <v>0.133546890533525</v>
      </c>
      <c r="N83" s="3">
        <v>0.866453109466475</v>
      </c>
      <c r="O83" s="3">
        <v>1</v>
      </c>
      <c r="Q83" t="s">
        <v>10</v>
      </c>
      <c r="R83" s="3">
        <v>0.896299569203579</v>
      </c>
      <c r="S83" s="3">
        <v>0.0731985713759711</v>
      </c>
      <c r="T83" s="3">
        <v>0.0100298243676129</v>
      </c>
      <c r="U83" s="3">
        <v>0.020472035052837</v>
      </c>
      <c r="V83" s="3">
        <v>1</v>
      </c>
    </row>
    <row r="84" spans="6:22">
      <c r="F84" s="17" t="s">
        <v>11</v>
      </c>
      <c r="G84" s="18">
        <v>0.68243469109818</v>
      </c>
      <c r="H84" s="18">
        <v>0.31756530890182</v>
      </c>
      <c r="I84" s="18">
        <v>1</v>
      </c>
      <c r="L84" t="s">
        <v>11</v>
      </c>
      <c r="M84" s="3">
        <v>0.118865296520986</v>
      </c>
      <c r="N84" s="3">
        <v>0.881134703479015</v>
      </c>
      <c r="O84" s="3">
        <v>1</v>
      </c>
      <c r="Q84" t="s">
        <v>11</v>
      </c>
      <c r="R84" s="3">
        <v>0.903333539680575</v>
      </c>
      <c r="S84" s="3">
        <v>0.067769592670546</v>
      </c>
      <c r="T84" s="3">
        <v>0.00989538194874335</v>
      </c>
      <c r="U84" s="3">
        <v>0.0190014857001362</v>
      </c>
      <c r="V84" s="3">
        <v>1</v>
      </c>
    </row>
    <row r="88" spans="1:2">
      <c r="A88" t="s">
        <v>28</v>
      </c>
      <c r="B88" t="s">
        <v>46</v>
      </c>
    </row>
    <row r="89" spans="1:8">
      <c r="A89" t="s">
        <v>29</v>
      </c>
      <c r="B89" t="s">
        <v>47</v>
      </c>
      <c r="C89" t="s">
        <v>48</v>
      </c>
      <c r="D89" t="s">
        <v>49</v>
      </c>
      <c r="E89" t="s">
        <v>50</v>
      </c>
      <c r="F89" t="s">
        <v>51</v>
      </c>
      <c r="G89" t="s">
        <v>52</v>
      </c>
      <c r="H89" t="s">
        <v>11</v>
      </c>
    </row>
    <row r="90" spans="1:8">
      <c r="A90" t="s">
        <v>3</v>
      </c>
      <c r="B90" s="3">
        <v>0.177139607620131</v>
      </c>
      <c r="C90" s="3">
        <v>0.210833096388968</v>
      </c>
      <c r="D90" s="3">
        <v>0.215524594825135</v>
      </c>
      <c r="E90" s="3">
        <v>0.122831959056014</v>
      </c>
      <c r="F90" s="3">
        <v>0.194057435314188</v>
      </c>
      <c r="G90" s="3">
        <v>0.0796133067955644</v>
      </c>
      <c r="H90" s="3">
        <v>1</v>
      </c>
    </row>
    <row r="91" spans="1:8">
      <c r="A91" t="s">
        <v>4</v>
      </c>
      <c r="B91" s="3">
        <v>0.165960582059311</v>
      </c>
      <c r="C91" s="3">
        <v>0.205931110701787</v>
      </c>
      <c r="D91" s="3">
        <v>0.200221035181433</v>
      </c>
      <c r="E91" s="3">
        <v>0.12267452569534</v>
      </c>
      <c r="F91" s="3">
        <v>0.193405783753914</v>
      </c>
      <c r="G91" s="3">
        <v>0.111806962608215</v>
      </c>
      <c r="H91" s="3">
        <v>1</v>
      </c>
    </row>
    <row r="92" spans="1:8">
      <c r="A92" t="s">
        <v>5</v>
      </c>
      <c r="B92" s="3">
        <v>0.158080282028684</v>
      </c>
      <c r="C92" s="3">
        <v>0.195497155676628</v>
      </c>
      <c r="D92" s="3">
        <v>0.197580322089576</v>
      </c>
      <c r="E92" s="3">
        <v>0.160964666292765</v>
      </c>
      <c r="F92" s="3">
        <v>0.21168175626953</v>
      </c>
      <c r="G92" s="3">
        <v>0.0761958176428171</v>
      </c>
      <c r="H92" s="3">
        <v>1</v>
      </c>
    </row>
    <row r="93" spans="1:8">
      <c r="A93" t="s">
        <v>6</v>
      </c>
      <c r="B93" s="3">
        <v>0.160710848784243</v>
      </c>
      <c r="C93" s="3">
        <v>0.183678706614486</v>
      </c>
      <c r="D93" s="3">
        <v>0.185924167575544</v>
      </c>
      <c r="E93" s="3">
        <v>0.163405401937512</v>
      </c>
      <c r="F93" s="3">
        <v>0.210752550202092</v>
      </c>
      <c r="G93" s="3">
        <v>0.0955283248861231</v>
      </c>
      <c r="H93" s="3">
        <v>1</v>
      </c>
    </row>
    <row r="94" spans="1:8">
      <c r="A94" t="s">
        <v>7</v>
      </c>
      <c r="B94" s="3">
        <v>0.178703161087938</v>
      </c>
      <c r="C94" s="3">
        <v>0.22137957185701</v>
      </c>
      <c r="D94" s="3">
        <v>0.206660002068324</v>
      </c>
      <c r="E94" s="3">
        <v>0.13809507394257</v>
      </c>
      <c r="F94" s="3">
        <v>0.176565893343445</v>
      </c>
      <c r="G94" s="3">
        <v>0.0785962977007136</v>
      </c>
      <c r="H94" s="3">
        <v>1</v>
      </c>
    </row>
    <row r="95" spans="1:8">
      <c r="A95" t="s">
        <v>8</v>
      </c>
      <c r="B95" s="3">
        <v>0.195981744741122</v>
      </c>
      <c r="C95" s="3">
        <v>0.222000734406966</v>
      </c>
      <c r="D95" s="3">
        <v>0.198237423280701</v>
      </c>
      <c r="E95" s="3">
        <v>0.131170329958558</v>
      </c>
      <c r="F95" s="3">
        <v>0.177805172323349</v>
      </c>
      <c r="G95" s="3">
        <v>0.0748045952893039</v>
      </c>
      <c r="H95" s="3">
        <v>1</v>
      </c>
    </row>
    <row r="96" spans="1:8">
      <c r="A96" t="s">
        <v>9</v>
      </c>
      <c r="B96" s="3">
        <v>0.19492519800528</v>
      </c>
      <c r="C96" s="3">
        <v>0.217805808154884</v>
      </c>
      <c r="D96" s="3">
        <v>0.111469639190378</v>
      </c>
      <c r="E96" s="3">
        <v>0.0390143737166324</v>
      </c>
      <c r="F96" s="3">
        <v>0.137870343209152</v>
      </c>
      <c r="G96" s="3">
        <v>0.298914637723673</v>
      </c>
      <c r="H96" s="3">
        <v>1</v>
      </c>
    </row>
    <row r="97" spans="1:8">
      <c r="A97" t="s">
        <v>10</v>
      </c>
      <c r="B97" s="3">
        <v>0.16870023349099</v>
      </c>
      <c r="C97" s="3">
        <v>0.208884631503323</v>
      </c>
      <c r="D97" s="3">
        <v>0.228114709932347</v>
      </c>
      <c r="E97" s="3">
        <v>0.159336646111477</v>
      </c>
      <c r="F97" s="3">
        <v>0.163276058193139</v>
      </c>
      <c r="G97" s="3">
        <v>0.0716877207687242</v>
      </c>
      <c r="H97" s="3">
        <v>1</v>
      </c>
    </row>
    <row r="98" spans="1:8">
      <c r="A98" t="s">
        <v>11</v>
      </c>
      <c r="B98" s="3">
        <v>0.175248359840201</v>
      </c>
      <c r="C98" s="3">
        <v>0.21070813488957</v>
      </c>
      <c r="D98" s="3">
        <v>0.208743478502417</v>
      </c>
      <c r="E98" s="3">
        <v>0.144778508982369</v>
      </c>
      <c r="F98" s="3">
        <v>0.175854423507189</v>
      </c>
      <c r="G98" s="3">
        <v>0.0846670942782539</v>
      </c>
      <c r="H98" s="3">
        <v>1</v>
      </c>
    </row>
  </sheetData>
  <conditionalFormatting sqref="B90:B97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{38ce24fb-c43c-4c63-af38-ba71c6b9e300}</x14:id>
        </ext>
      </extLst>
    </cfRule>
  </conditionalFormatting>
  <conditionalFormatting sqref="C90:C9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{cdcfab7b-2551-4a12-aa02-851d991f3bd8}</x14:id>
        </ext>
      </extLst>
    </cfRule>
  </conditionalFormatting>
  <conditionalFormatting sqref="D75:D82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{905bfd70-aea3-491d-9aa6-a597be94667d}</x14:id>
        </ext>
      </extLst>
    </cfRule>
  </conditionalFormatting>
  <conditionalFormatting sqref="D90:D97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{1866a648-db86-41d4-91a2-161ab512c138}</x14:id>
        </ext>
      </extLst>
    </cfRule>
  </conditionalFormatting>
  <conditionalFormatting sqref="E90:E97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{b6b2b4f1-a425-4122-bddf-f26e56f742de}</x14:id>
        </ext>
      </extLst>
    </cfRule>
  </conditionalFormatting>
  <conditionalFormatting sqref="F90:F97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{0c1adc26-36d6-49b9-9087-679b0908d68d}</x14:id>
        </ext>
      </extLst>
    </cfRule>
  </conditionalFormatting>
  <conditionalFormatting sqref="G76:G83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{618d5e07-f90b-4bfd-85cb-dad85a0f1faa}</x14:id>
        </ext>
      </extLst>
    </cfRule>
  </conditionalFormatting>
  <conditionalFormatting sqref="G90:G97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{b30cbae2-7c7c-4680-9386-76c70d39a3c2}</x14:id>
        </ext>
      </extLst>
    </cfRule>
  </conditionalFormatting>
  <conditionalFormatting sqref="H76:H83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{ca41613a-9b1e-4852-a948-adc58cf59de3}</x14:id>
        </ext>
      </extLst>
    </cfRule>
  </conditionalFormatting>
  <conditionalFormatting sqref="J4:J15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{11fd6601-50b3-484a-b22c-a5d89f913007}</x14:id>
        </ext>
      </extLst>
    </cfRule>
  </conditionalFormatting>
  <conditionalFormatting sqref="J20:J32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{647c43c7-2804-4141-a187-dc2a5c159a98}</x14:id>
        </ext>
      </extLst>
    </cfRule>
  </conditionalFormatting>
  <conditionalFormatting sqref="J36:J48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{d4c32e63-f27a-433b-97ba-a0011950d566}</x14:id>
        </ext>
      </extLst>
    </cfRule>
  </conditionalFormatting>
  <conditionalFormatting sqref="N76:N83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{5ce2dfc7-6880-4285-bcf2-e2b4a99392b8}</x14:id>
        </ext>
      </extLst>
    </cfRule>
  </conditionalFormatting>
  <conditionalFormatting sqref="R76:R8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{e0b8dd9c-91ea-463a-bef0-487bfe801026}</x14:id>
        </ext>
      </extLst>
    </cfRule>
  </conditionalFormatting>
  <conditionalFormatting sqref="S76:S83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{f15f9c3c-8523-483e-beec-64b68bc349fe}</x14:id>
        </ext>
      </extLst>
    </cfRule>
  </conditionalFormatting>
  <conditionalFormatting sqref="T76:T83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{c4e62095-c297-4cf4-b7fd-9e512e264dbd}</x14:id>
        </ext>
      </extLst>
    </cfRule>
  </conditionalFormatting>
  <conditionalFormatting sqref="U76:U83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{b0ffe50e-823e-4580-bb03-5a35a82f81a3}</x14:id>
        </ext>
      </extLst>
    </cfRule>
  </conditionalFormatting>
  <conditionalFormatting sqref="B4:I15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{87e97070-4349-43a2-a610-896e99233fd6}</x14:id>
        </ext>
      </extLst>
    </cfRule>
  </conditionalFormatting>
  <conditionalFormatting sqref="B20:I3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{7e9651df-d034-4156-afd8-739b60a70288}</x14:id>
        </ext>
      </extLst>
    </cfRule>
  </conditionalFormatting>
  <conditionalFormatting sqref="B36:I48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{44cd08cc-e420-422c-b655-67f70713f26a}</x14:id>
        </ext>
      </extLst>
    </cfRule>
  </conditionalFormatting>
  <conditionalFormatting sqref="B54:J66">
    <cfRule type="colorScale" priority="15">
      <colorScale>
        <cfvo type="min"/>
        <cfvo type="max"/>
        <color rgb="FFFCFCFF"/>
        <color rgb="FF63BE7B"/>
      </colorScale>
    </cfRule>
  </conditionalFormatting>
  <pageMargins left="0.75" right="0.75" top="1" bottom="1" header="0.511805555555556" footer="0.511805555555556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ce24fb-c43c-4c63-af38-ba71c6b9e3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B90:B97</xm:sqref>
        </x14:conditionalFormatting>
        <x14:conditionalFormatting xmlns:xm="http://schemas.microsoft.com/office/excel/2006/main">
          <x14:cfRule type="dataBar" id="{cdcfab7b-2551-4a12-aa02-851d991f3b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C90:C97</xm:sqref>
        </x14:conditionalFormatting>
        <x14:conditionalFormatting xmlns:xm="http://schemas.microsoft.com/office/excel/2006/main">
          <x14:cfRule type="dataBar" id="{905bfd70-aea3-491d-9aa6-a597be9466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D75:D82</xm:sqref>
        </x14:conditionalFormatting>
        <x14:conditionalFormatting xmlns:xm="http://schemas.microsoft.com/office/excel/2006/main">
          <x14:cfRule type="dataBar" id="{1866a648-db86-41d4-91a2-161ab512c13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D90:D97</xm:sqref>
        </x14:conditionalFormatting>
        <x14:conditionalFormatting xmlns:xm="http://schemas.microsoft.com/office/excel/2006/main">
          <x14:cfRule type="dataBar" id="{b6b2b4f1-a425-4122-bddf-f26e56f742d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E90:E97</xm:sqref>
        </x14:conditionalFormatting>
        <x14:conditionalFormatting xmlns:xm="http://schemas.microsoft.com/office/excel/2006/main">
          <x14:cfRule type="dataBar" id="{0c1adc26-36d6-49b9-9087-679b0908d6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F90:F97</xm:sqref>
        </x14:conditionalFormatting>
        <x14:conditionalFormatting xmlns:xm="http://schemas.microsoft.com/office/excel/2006/main">
          <x14:cfRule type="dataBar" id="{618d5e07-f90b-4bfd-85cb-dad85a0f1f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G76:G83</xm:sqref>
        </x14:conditionalFormatting>
        <x14:conditionalFormatting xmlns:xm="http://schemas.microsoft.com/office/excel/2006/main">
          <x14:cfRule type="dataBar" id="{b30cbae2-7c7c-4680-9386-76c70d39a3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G90:G97</xm:sqref>
        </x14:conditionalFormatting>
        <x14:conditionalFormatting xmlns:xm="http://schemas.microsoft.com/office/excel/2006/main">
          <x14:cfRule type="dataBar" id="{ca41613a-9b1e-4852-a948-adc58cf59d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H76:H83</xm:sqref>
        </x14:conditionalFormatting>
        <x14:conditionalFormatting xmlns:xm="http://schemas.microsoft.com/office/excel/2006/main">
          <x14:cfRule type="dataBar" id="{11fd6601-50b3-484a-b22c-a5d89f9130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J4:J15</xm:sqref>
        </x14:conditionalFormatting>
        <x14:conditionalFormatting xmlns:xm="http://schemas.microsoft.com/office/excel/2006/main">
          <x14:cfRule type="dataBar" id="{647c43c7-2804-4141-a187-dc2a5c159a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J20:J32</xm:sqref>
        </x14:conditionalFormatting>
        <x14:conditionalFormatting xmlns:xm="http://schemas.microsoft.com/office/excel/2006/main">
          <x14:cfRule type="dataBar" id="{d4c32e63-f27a-433b-97ba-a0011950d5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J36:J48</xm:sqref>
        </x14:conditionalFormatting>
        <x14:conditionalFormatting xmlns:xm="http://schemas.microsoft.com/office/excel/2006/main">
          <x14:cfRule type="dataBar" id="{5ce2dfc7-6880-4285-bcf2-e2b4a99392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N76:N83</xm:sqref>
        </x14:conditionalFormatting>
        <x14:conditionalFormatting xmlns:xm="http://schemas.microsoft.com/office/excel/2006/main">
          <x14:cfRule type="dataBar" id="{e0b8dd9c-91ea-463a-bef0-487bfe8010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R76:R83</xm:sqref>
        </x14:conditionalFormatting>
        <x14:conditionalFormatting xmlns:xm="http://schemas.microsoft.com/office/excel/2006/main">
          <x14:cfRule type="dataBar" id="{f15f9c3c-8523-483e-beec-64b68bc349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S76:S83</xm:sqref>
        </x14:conditionalFormatting>
        <x14:conditionalFormatting xmlns:xm="http://schemas.microsoft.com/office/excel/2006/main">
          <x14:cfRule type="dataBar" id="{c4e62095-c297-4cf4-b7fd-9e512e264d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T76:T83</xm:sqref>
        </x14:conditionalFormatting>
        <x14:conditionalFormatting xmlns:xm="http://schemas.microsoft.com/office/excel/2006/main">
          <x14:cfRule type="dataBar" id="{b0ffe50e-823e-4580-bb03-5a35a82f81a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U76:U83</xm:sqref>
        </x14:conditionalFormatting>
        <x14:conditionalFormatting xmlns:xm="http://schemas.microsoft.com/office/excel/2006/main">
          <x14:cfRule type="dataBar" id="{87e97070-4349-43a2-a610-896e99233f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B4:I15</xm:sqref>
        </x14:conditionalFormatting>
        <x14:conditionalFormatting xmlns:xm="http://schemas.microsoft.com/office/excel/2006/main">
          <x14:cfRule type="dataBar" id="{7e9651df-d034-4156-afd8-739b60a702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B20:I32</xm:sqref>
        </x14:conditionalFormatting>
        <x14:conditionalFormatting xmlns:xm="http://schemas.microsoft.com/office/excel/2006/main">
          <x14:cfRule type="dataBar" id="{44cd08cc-e420-422c-b655-67f70713f2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B36:I48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workbookViewId="0">
      <selection activeCell="I6" sqref="I6:L15"/>
    </sheetView>
  </sheetViews>
  <sheetFormatPr defaultColWidth="9" defaultRowHeight="14"/>
  <cols>
    <col min="1" max="5" width="15.6272727272727" customWidth="1"/>
    <col min="6" max="6" width="11.8545454545455" customWidth="1"/>
    <col min="9" max="9" width="12.3090909090909"/>
    <col min="10" max="12" width="18.0727272727273"/>
  </cols>
  <sheetData>
    <row r="1" spans="1:6">
      <c r="A1" s="1" t="s">
        <v>29</v>
      </c>
      <c r="B1" s="1" t="s">
        <v>53</v>
      </c>
      <c r="C1" s="1" t="s">
        <v>38</v>
      </c>
      <c r="D1" s="1" t="s">
        <v>39</v>
      </c>
      <c r="E1" s="1" t="s">
        <v>54</v>
      </c>
      <c r="F1" s="6" t="s">
        <v>55</v>
      </c>
    </row>
    <row r="2" spans="1:6">
      <c r="A2" s="2" t="s">
        <v>3</v>
      </c>
      <c r="B2" s="2" t="s">
        <v>56</v>
      </c>
      <c r="C2" s="2">
        <v>421</v>
      </c>
      <c r="D2" s="2">
        <v>379</v>
      </c>
      <c r="E2" s="7">
        <f t="shared" ref="E2:E25" si="0">D2/C2</f>
        <v>0.900237529691211</v>
      </c>
      <c r="F2" s="8">
        <v>0.59</v>
      </c>
    </row>
    <row r="3" spans="1:6">
      <c r="A3" s="2" t="s">
        <v>3</v>
      </c>
      <c r="B3" s="2" t="s">
        <v>57</v>
      </c>
      <c r="C3" s="2">
        <v>4079</v>
      </c>
      <c r="D3" s="2">
        <v>3560</v>
      </c>
      <c r="E3" s="7">
        <f t="shared" si="0"/>
        <v>0.872762932091199</v>
      </c>
      <c r="F3" s="9">
        <v>0.59</v>
      </c>
    </row>
    <row r="4" spans="1:6">
      <c r="A4" s="2" t="s">
        <v>3</v>
      </c>
      <c r="B4" s="2" t="s">
        <v>58</v>
      </c>
      <c r="C4" s="2">
        <v>7083</v>
      </c>
      <c r="D4" s="2">
        <v>6188</v>
      </c>
      <c r="E4" s="7">
        <f t="shared" si="0"/>
        <v>0.873641112522942</v>
      </c>
      <c r="F4" s="9">
        <v>0.59</v>
      </c>
    </row>
    <row r="5" spans="1:6">
      <c r="A5" s="2" t="s">
        <v>4</v>
      </c>
      <c r="B5" s="2" t="s">
        <v>56</v>
      </c>
      <c r="C5" s="2">
        <v>1431</v>
      </c>
      <c r="D5" s="2">
        <v>976</v>
      </c>
      <c r="E5" s="7">
        <f t="shared" si="0"/>
        <v>0.682040531097135</v>
      </c>
      <c r="F5" s="10" t="s">
        <v>59</v>
      </c>
    </row>
    <row r="6" spans="1:12">
      <c r="A6" s="2" t="s">
        <v>4</v>
      </c>
      <c r="B6" s="2" t="s">
        <v>57</v>
      </c>
      <c r="C6" s="2">
        <v>2381</v>
      </c>
      <c r="D6" s="2">
        <v>1590</v>
      </c>
      <c r="E6" s="7">
        <f t="shared" si="0"/>
        <v>0.667786644267115</v>
      </c>
      <c r="F6" t="s">
        <v>59</v>
      </c>
      <c r="I6" t="s">
        <v>29</v>
      </c>
      <c r="J6" t="s">
        <v>28</v>
      </c>
      <c r="K6" t="s">
        <v>60</v>
      </c>
      <c r="L6" t="s">
        <v>61</v>
      </c>
    </row>
    <row r="7" spans="1:12">
      <c r="A7" s="2" t="s">
        <v>4</v>
      </c>
      <c r="B7" s="2" t="s">
        <v>58</v>
      </c>
      <c r="C7" s="2">
        <v>3939</v>
      </c>
      <c r="D7" s="2">
        <v>2775</v>
      </c>
      <c r="E7" s="7">
        <f t="shared" si="0"/>
        <v>0.704493526275704</v>
      </c>
      <c r="F7" t="s">
        <v>59</v>
      </c>
      <c r="I7" t="s">
        <v>3</v>
      </c>
      <c r="J7">
        <v>11583</v>
      </c>
      <c r="K7">
        <v>10127</v>
      </c>
      <c r="L7" s="12">
        <v>0.874298540965208</v>
      </c>
    </row>
    <row r="8" spans="1:12">
      <c r="A8" s="2" t="s">
        <v>5</v>
      </c>
      <c r="B8" s="2" t="s">
        <v>56</v>
      </c>
      <c r="C8" s="2">
        <v>12</v>
      </c>
      <c r="D8" s="2">
        <v>6</v>
      </c>
      <c r="E8" s="7">
        <f t="shared" si="0"/>
        <v>0.5</v>
      </c>
      <c r="F8" s="10" t="s">
        <v>62</v>
      </c>
      <c r="I8" t="s">
        <v>4</v>
      </c>
      <c r="J8">
        <v>7751</v>
      </c>
      <c r="K8">
        <v>5341</v>
      </c>
      <c r="L8" s="12">
        <v>0.689072377757709</v>
      </c>
    </row>
    <row r="9" spans="1:12">
      <c r="A9" s="2" t="s">
        <v>5</v>
      </c>
      <c r="B9" s="2" t="s">
        <v>57</v>
      </c>
      <c r="C9" s="2">
        <v>9043</v>
      </c>
      <c r="D9" s="2">
        <v>6098</v>
      </c>
      <c r="E9" s="7">
        <f t="shared" si="0"/>
        <v>0.674333738803494</v>
      </c>
      <c r="F9" t="s">
        <v>62</v>
      </c>
      <c r="I9" t="s">
        <v>5</v>
      </c>
      <c r="J9">
        <v>20877</v>
      </c>
      <c r="K9">
        <v>13612</v>
      </c>
      <c r="L9" s="12">
        <v>0.652009388322077</v>
      </c>
    </row>
    <row r="10" spans="1:12">
      <c r="A10" s="2" t="s">
        <v>5</v>
      </c>
      <c r="B10" s="2" t="s">
        <v>58</v>
      </c>
      <c r="C10" s="2">
        <v>11822</v>
      </c>
      <c r="D10" s="2">
        <v>7508</v>
      </c>
      <c r="E10" s="7">
        <f t="shared" si="0"/>
        <v>0.635087125697851</v>
      </c>
      <c r="F10" t="s">
        <v>62</v>
      </c>
      <c r="I10" t="s">
        <v>6</v>
      </c>
      <c r="J10">
        <v>26081</v>
      </c>
      <c r="K10">
        <v>19810</v>
      </c>
      <c r="L10" s="12">
        <v>0.759556765461447</v>
      </c>
    </row>
    <row r="11" spans="1:12">
      <c r="A11" s="2" t="s">
        <v>6</v>
      </c>
      <c r="B11" s="2" t="s">
        <v>56</v>
      </c>
      <c r="C11" s="2">
        <v>1390</v>
      </c>
      <c r="D11" s="2">
        <v>1129</v>
      </c>
      <c r="E11" s="7">
        <f t="shared" si="0"/>
        <v>0.812230215827338</v>
      </c>
      <c r="F11" s="10" t="s">
        <v>62</v>
      </c>
      <c r="I11" t="s">
        <v>7</v>
      </c>
      <c r="J11">
        <v>47470</v>
      </c>
      <c r="K11">
        <v>38266</v>
      </c>
      <c r="L11" s="12">
        <v>0.806109121550453</v>
      </c>
    </row>
    <row r="12" spans="1:12">
      <c r="A12" s="2" t="s">
        <v>6</v>
      </c>
      <c r="B12" s="2" t="s">
        <v>57</v>
      </c>
      <c r="C12" s="2">
        <v>12599</v>
      </c>
      <c r="D12" s="2">
        <v>9571</v>
      </c>
      <c r="E12" s="7">
        <f t="shared" si="0"/>
        <v>0.759663465354393</v>
      </c>
      <c r="F12" t="s">
        <v>62</v>
      </c>
      <c r="I12" t="s">
        <v>8</v>
      </c>
      <c r="J12">
        <v>63321</v>
      </c>
      <c r="K12">
        <v>52023</v>
      </c>
      <c r="L12" s="12">
        <v>0.821575780546738</v>
      </c>
    </row>
    <row r="13" spans="1:12">
      <c r="A13" s="2" t="s">
        <v>6</v>
      </c>
      <c r="B13" s="2" t="s">
        <v>58</v>
      </c>
      <c r="C13" s="2">
        <v>12092</v>
      </c>
      <c r="D13" s="2">
        <v>9110</v>
      </c>
      <c r="E13" s="7">
        <f t="shared" si="0"/>
        <v>0.753390671518359</v>
      </c>
      <c r="F13" t="s">
        <v>62</v>
      </c>
      <c r="I13" t="s">
        <v>9</v>
      </c>
      <c r="J13">
        <v>10202</v>
      </c>
      <c r="K13">
        <v>8539</v>
      </c>
      <c r="L13" s="12">
        <v>0.83699274652029</v>
      </c>
    </row>
    <row r="14" spans="1:12">
      <c r="A14" s="2" t="s">
        <v>7</v>
      </c>
      <c r="B14" s="2" t="s">
        <v>56</v>
      </c>
      <c r="C14" s="2">
        <v>1274</v>
      </c>
      <c r="D14" s="2">
        <v>980</v>
      </c>
      <c r="E14" s="7">
        <f t="shared" si="0"/>
        <v>0.769230769230769</v>
      </c>
      <c r="F14" s="11">
        <v>0.66</v>
      </c>
      <c r="I14" t="s">
        <v>10</v>
      </c>
      <c r="J14">
        <v>135795</v>
      </c>
      <c r="K14">
        <v>101159</v>
      </c>
      <c r="L14" s="12">
        <v>0.744939062557532</v>
      </c>
    </row>
    <row r="15" spans="1:12">
      <c r="A15" s="2" t="s">
        <v>7</v>
      </c>
      <c r="B15" s="2" t="s">
        <v>57</v>
      </c>
      <c r="C15" s="2">
        <v>21526</v>
      </c>
      <c r="D15" s="2">
        <v>16464</v>
      </c>
      <c r="E15" s="7">
        <f t="shared" si="0"/>
        <v>0.76484251602713</v>
      </c>
      <c r="F15" s="9">
        <v>0.66</v>
      </c>
      <c r="I15" t="s">
        <v>11</v>
      </c>
      <c r="J15">
        <v>323080</v>
      </c>
      <c r="K15">
        <v>248877</v>
      </c>
      <c r="L15" s="12">
        <v>0.770326234988238</v>
      </c>
    </row>
    <row r="16" spans="1:6">
      <c r="A16" s="2" t="s">
        <v>7</v>
      </c>
      <c r="B16" s="2" t="s">
        <v>58</v>
      </c>
      <c r="C16" s="2">
        <v>24670</v>
      </c>
      <c r="D16" s="2">
        <v>20822</v>
      </c>
      <c r="E16" s="7">
        <f t="shared" si="0"/>
        <v>0.844021078232671</v>
      </c>
      <c r="F16" s="9">
        <v>0.66</v>
      </c>
    </row>
    <row r="17" spans="1:6">
      <c r="A17" s="2" t="s">
        <v>8</v>
      </c>
      <c r="B17" s="2" t="s">
        <v>56</v>
      </c>
      <c r="C17" s="2">
        <v>204</v>
      </c>
      <c r="D17" s="2">
        <v>128</v>
      </c>
      <c r="E17" s="7">
        <f t="shared" si="0"/>
        <v>0.627450980392157</v>
      </c>
      <c r="F17" s="10" t="s">
        <v>62</v>
      </c>
    </row>
    <row r="18" spans="1:6">
      <c r="A18" s="2" t="s">
        <v>8</v>
      </c>
      <c r="B18" s="2" t="s">
        <v>57</v>
      </c>
      <c r="C18" s="2">
        <v>29361</v>
      </c>
      <c r="D18" s="2">
        <v>24798</v>
      </c>
      <c r="E18" s="7">
        <f t="shared" si="0"/>
        <v>0.84458976192909</v>
      </c>
      <c r="F18" t="s">
        <v>62</v>
      </c>
    </row>
    <row r="19" spans="1:6">
      <c r="A19" s="2" t="s">
        <v>8</v>
      </c>
      <c r="B19" s="2" t="s">
        <v>58</v>
      </c>
      <c r="C19" s="2">
        <v>33756</v>
      </c>
      <c r="D19" s="2">
        <v>27097</v>
      </c>
      <c r="E19" s="7">
        <f t="shared" si="0"/>
        <v>0.802731366275625</v>
      </c>
      <c r="F19" t="s">
        <v>62</v>
      </c>
    </row>
    <row r="20" spans="1:6">
      <c r="A20" s="2" t="s">
        <v>9</v>
      </c>
      <c r="B20" s="2" t="s">
        <v>56</v>
      </c>
      <c r="C20" s="2">
        <v>3072</v>
      </c>
      <c r="D20" s="2">
        <v>2710</v>
      </c>
      <c r="E20" s="7">
        <f t="shared" si="0"/>
        <v>0.882161458333333</v>
      </c>
      <c r="F20" s="10" t="s">
        <v>62</v>
      </c>
    </row>
    <row r="21" spans="1:6">
      <c r="A21" s="2" t="s">
        <v>9</v>
      </c>
      <c r="B21" s="2" t="s">
        <v>57</v>
      </c>
      <c r="C21" s="2">
        <v>3216</v>
      </c>
      <c r="D21" s="2">
        <v>2745</v>
      </c>
      <c r="E21" s="7">
        <f t="shared" si="0"/>
        <v>0.853544776119403</v>
      </c>
      <c r="F21" t="s">
        <v>62</v>
      </c>
    </row>
    <row r="22" spans="1:6">
      <c r="A22" s="2" t="s">
        <v>9</v>
      </c>
      <c r="B22" s="2" t="s">
        <v>58</v>
      </c>
      <c r="C22" s="2">
        <v>3914</v>
      </c>
      <c r="D22" s="2">
        <v>3084</v>
      </c>
      <c r="E22" s="7">
        <f t="shared" si="0"/>
        <v>0.787940725600409</v>
      </c>
      <c r="F22" t="s">
        <v>62</v>
      </c>
    </row>
    <row r="23" spans="1:6">
      <c r="A23" s="2" t="s">
        <v>10</v>
      </c>
      <c r="B23" s="2" t="s">
        <v>56</v>
      </c>
      <c r="C23" s="2">
        <v>30225</v>
      </c>
      <c r="D23" s="2">
        <v>21414</v>
      </c>
      <c r="E23" s="7">
        <f t="shared" si="0"/>
        <v>0.70848635235732</v>
      </c>
      <c r="F23" s="10" t="s">
        <v>59</v>
      </c>
    </row>
    <row r="24" spans="1:6">
      <c r="A24" s="2" t="s">
        <v>10</v>
      </c>
      <c r="B24" s="2" t="s">
        <v>57</v>
      </c>
      <c r="C24" s="2">
        <v>52141</v>
      </c>
      <c r="D24" s="2">
        <v>39284</v>
      </c>
      <c r="E24" s="7">
        <f t="shared" si="0"/>
        <v>0.753418614909572</v>
      </c>
      <c r="F24" t="s">
        <v>59</v>
      </c>
    </row>
    <row r="25" spans="1:6">
      <c r="A25" s="2" t="s">
        <v>10</v>
      </c>
      <c r="B25" s="2" t="s">
        <v>58</v>
      </c>
      <c r="C25" s="2">
        <v>53429</v>
      </c>
      <c r="D25" s="2">
        <v>40461</v>
      </c>
      <c r="E25" s="7">
        <f t="shared" si="0"/>
        <v>0.757285369368695</v>
      </c>
      <c r="F25" t="s">
        <v>59</v>
      </c>
    </row>
    <row r="26" spans="1:5">
      <c r="A26" s="1"/>
      <c r="B26" s="1"/>
      <c r="C26" s="1"/>
      <c r="D26" s="1"/>
      <c r="E26" s="7"/>
    </row>
  </sheetData>
  <sortState ref="A2:F25">
    <sortCondition ref="A2:A25"/>
    <sortCondition ref="B2:B25"/>
  </sortState>
  <conditionalFormatting sqref="E2:E2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{060d1b23-087d-4949-b898-5f69d7b29858}</x14:id>
        </ext>
      </extLst>
    </cfRule>
  </conditionalFormatting>
  <conditionalFormatting sqref="L7:L1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{044dce18-620b-4d63-8dd2-a63d91a96859}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d1b23-087d-4949-b898-5f69d7b298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E2:E26</xm:sqref>
        </x14:conditionalFormatting>
        <x14:conditionalFormatting xmlns:xm="http://schemas.microsoft.com/office/excel/2006/main">
          <x14:cfRule type="dataBar" id="{044dce18-620b-4d63-8dd2-a63d91a968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L7:L14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9"/>
  <sheetViews>
    <sheetView topLeftCell="A41" workbookViewId="0">
      <selection activeCell="D69" sqref="D69"/>
    </sheetView>
  </sheetViews>
  <sheetFormatPr defaultColWidth="9" defaultRowHeight="14" outlineLevelCol="4"/>
  <cols>
    <col min="1" max="3" width="15.6272727272727" customWidth="1"/>
    <col min="4" max="4" width="11.3727272727273" customWidth="1"/>
    <col min="5" max="5" width="15.6272727272727" customWidth="1"/>
    <col min="6" max="6" width="12.9272727272727"/>
  </cols>
  <sheetData>
    <row r="1" spans="1:5">
      <c r="A1" s="1" t="s">
        <v>29</v>
      </c>
      <c r="B1" s="1" t="s">
        <v>53</v>
      </c>
      <c r="C1" s="1" t="s">
        <v>2</v>
      </c>
      <c r="D1" t="s">
        <v>63</v>
      </c>
      <c r="E1" s="1" t="s">
        <v>64</v>
      </c>
    </row>
    <row r="2" spans="1:5">
      <c r="A2" s="2" t="s">
        <v>3</v>
      </c>
      <c r="B2" s="2" t="s">
        <v>56</v>
      </c>
      <c r="C2" s="2" t="s">
        <v>15</v>
      </c>
      <c r="D2">
        <v>19</v>
      </c>
      <c r="E2" s="2">
        <v>19</v>
      </c>
    </row>
    <row r="3" spans="1:5">
      <c r="A3" s="2" t="s">
        <v>3</v>
      </c>
      <c r="B3" s="2" t="s">
        <v>56</v>
      </c>
      <c r="C3" s="2" t="s">
        <v>21</v>
      </c>
      <c r="D3">
        <v>5</v>
      </c>
      <c r="E3" s="2">
        <v>4</v>
      </c>
    </row>
    <row r="4" spans="1:5">
      <c r="A4" s="2" t="s">
        <v>3</v>
      </c>
      <c r="B4" s="2" t="s">
        <v>56</v>
      </c>
      <c r="C4" s="2" t="s">
        <v>18</v>
      </c>
      <c r="D4">
        <v>112</v>
      </c>
      <c r="E4" s="2">
        <v>100</v>
      </c>
    </row>
    <row r="5" spans="1:5">
      <c r="A5" s="2" t="s">
        <v>3</v>
      </c>
      <c r="B5" s="2" t="s">
        <v>56</v>
      </c>
      <c r="C5" s="2" t="s">
        <v>17</v>
      </c>
      <c r="D5">
        <v>122</v>
      </c>
      <c r="E5" s="2">
        <v>111</v>
      </c>
    </row>
    <row r="6" spans="1:5">
      <c r="A6" s="2" t="s">
        <v>3</v>
      </c>
      <c r="B6" s="2" t="s">
        <v>56</v>
      </c>
      <c r="C6" s="2" t="s">
        <v>14</v>
      </c>
      <c r="D6">
        <v>13</v>
      </c>
      <c r="E6" s="2">
        <v>12</v>
      </c>
    </row>
    <row r="7" spans="1:5">
      <c r="A7" s="2" t="s">
        <v>3</v>
      </c>
      <c r="B7" s="2" t="s">
        <v>56</v>
      </c>
      <c r="C7" s="2" t="s">
        <v>20</v>
      </c>
      <c r="D7">
        <v>10</v>
      </c>
      <c r="E7" s="2">
        <v>9</v>
      </c>
    </row>
    <row r="8" spans="1:5">
      <c r="A8" s="2" t="s">
        <v>3</v>
      </c>
      <c r="B8" s="2" t="s">
        <v>56</v>
      </c>
      <c r="C8" s="2" t="s">
        <v>12</v>
      </c>
      <c r="D8">
        <v>2</v>
      </c>
      <c r="E8" s="2">
        <v>2</v>
      </c>
    </row>
    <row r="9" spans="1:5">
      <c r="A9" s="2" t="s">
        <v>3</v>
      </c>
      <c r="B9" s="2" t="s">
        <v>56</v>
      </c>
      <c r="C9" s="2" t="s">
        <v>13</v>
      </c>
      <c r="D9">
        <v>4</v>
      </c>
      <c r="E9" s="2">
        <v>3</v>
      </c>
    </row>
    <row r="10" spans="1:5">
      <c r="A10" s="2" t="s">
        <v>3</v>
      </c>
      <c r="B10" s="2" t="s">
        <v>56</v>
      </c>
      <c r="C10" s="2" t="s">
        <v>16</v>
      </c>
      <c r="D10">
        <v>92</v>
      </c>
      <c r="E10" s="2">
        <v>81</v>
      </c>
    </row>
    <row r="11" spans="1:5">
      <c r="A11" s="2" t="s">
        <v>3</v>
      </c>
      <c r="B11" s="2" t="s">
        <v>56</v>
      </c>
      <c r="C11" s="2" t="s">
        <v>19</v>
      </c>
      <c r="D11">
        <v>42</v>
      </c>
      <c r="E11" s="2">
        <v>38</v>
      </c>
    </row>
    <row r="12" spans="1:5">
      <c r="A12" s="2" t="s">
        <v>3</v>
      </c>
      <c r="B12" s="2" t="s">
        <v>57</v>
      </c>
      <c r="C12" s="2" t="s">
        <v>22</v>
      </c>
      <c r="D12">
        <v>8</v>
      </c>
      <c r="E12" s="2">
        <v>8</v>
      </c>
    </row>
    <row r="13" spans="1:5">
      <c r="A13" s="2" t="s">
        <v>3</v>
      </c>
      <c r="B13" s="2" t="s">
        <v>57</v>
      </c>
      <c r="C13" s="2" t="s">
        <v>15</v>
      </c>
      <c r="D13">
        <v>279</v>
      </c>
      <c r="E13" s="2">
        <v>251</v>
      </c>
    </row>
    <row r="14" spans="1:5">
      <c r="A14" s="2" t="s">
        <v>3</v>
      </c>
      <c r="B14" s="2" t="s">
        <v>57</v>
      </c>
      <c r="C14" s="2" t="s">
        <v>21</v>
      </c>
      <c r="D14">
        <v>31</v>
      </c>
      <c r="E14" s="2">
        <v>29</v>
      </c>
    </row>
    <row r="15" spans="1:5">
      <c r="A15" s="2" t="s">
        <v>3</v>
      </c>
      <c r="B15" s="2" t="s">
        <v>57</v>
      </c>
      <c r="C15" s="2" t="s">
        <v>18</v>
      </c>
      <c r="D15">
        <v>982</v>
      </c>
      <c r="E15" s="2">
        <v>863</v>
      </c>
    </row>
    <row r="16" spans="1:5">
      <c r="A16" s="2" t="s">
        <v>3</v>
      </c>
      <c r="B16" s="2" t="s">
        <v>57</v>
      </c>
      <c r="C16" s="2" t="s">
        <v>17</v>
      </c>
      <c r="D16">
        <v>1177</v>
      </c>
      <c r="E16" s="2">
        <v>1018</v>
      </c>
    </row>
    <row r="17" spans="1:5">
      <c r="A17" s="2" t="s">
        <v>3</v>
      </c>
      <c r="B17" s="2" t="s">
        <v>57</v>
      </c>
      <c r="C17" s="2" t="s">
        <v>23</v>
      </c>
      <c r="D17">
        <v>2</v>
      </c>
      <c r="E17" s="2">
        <v>1</v>
      </c>
    </row>
    <row r="18" spans="1:5">
      <c r="A18" s="2" t="s">
        <v>3</v>
      </c>
      <c r="B18" s="2" t="s">
        <v>57</v>
      </c>
      <c r="C18" s="2" t="s">
        <v>14</v>
      </c>
      <c r="D18">
        <v>174</v>
      </c>
      <c r="E18" s="2">
        <v>150</v>
      </c>
    </row>
    <row r="19" spans="1:5">
      <c r="A19" s="2" t="s">
        <v>3</v>
      </c>
      <c r="B19" s="2" t="s">
        <v>57</v>
      </c>
      <c r="C19" s="2" t="s">
        <v>20</v>
      </c>
      <c r="D19">
        <v>155</v>
      </c>
      <c r="E19" s="2">
        <v>132</v>
      </c>
    </row>
    <row r="20" spans="1:5">
      <c r="A20" s="2" t="s">
        <v>3</v>
      </c>
      <c r="B20" s="2" t="s">
        <v>57</v>
      </c>
      <c r="C20" s="2" t="s">
        <v>12</v>
      </c>
      <c r="D20">
        <v>28</v>
      </c>
      <c r="E20" s="2">
        <v>27</v>
      </c>
    </row>
    <row r="21" spans="1:5">
      <c r="A21" s="2" t="s">
        <v>3</v>
      </c>
      <c r="B21" s="2" t="s">
        <v>57</v>
      </c>
      <c r="C21" s="2" t="s">
        <v>13</v>
      </c>
      <c r="D21">
        <v>59</v>
      </c>
      <c r="E21" s="2">
        <v>54</v>
      </c>
    </row>
    <row r="22" spans="1:5">
      <c r="A22" s="2" t="s">
        <v>3</v>
      </c>
      <c r="B22" s="2" t="s">
        <v>57</v>
      </c>
      <c r="C22" s="2" t="s">
        <v>16</v>
      </c>
      <c r="D22">
        <v>682</v>
      </c>
      <c r="E22" s="2">
        <v>598</v>
      </c>
    </row>
    <row r="23" spans="1:5">
      <c r="A23" s="2" t="s">
        <v>3</v>
      </c>
      <c r="B23" s="2" t="s">
        <v>57</v>
      </c>
      <c r="C23" s="2" t="s">
        <v>19</v>
      </c>
      <c r="D23">
        <v>502</v>
      </c>
      <c r="E23" s="2">
        <v>429</v>
      </c>
    </row>
    <row r="24" spans="1:5">
      <c r="A24" s="2" t="s">
        <v>3</v>
      </c>
      <c r="B24" s="2" t="s">
        <v>58</v>
      </c>
      <c r="C24" s="2" t="s">
        <v>15</v>
      </c>
      <c r="D24">
        <v>592</v>
      </c>
      <c r="E24" s="2">
        <v>536</v>
      </c>
    </row>
    <row r="25" spans="1:5">
      <c r="A25" s="2" t="s">
        <v>3</v>
      </c>
      <c r="B25" s="2" t="s">
        <v>58</v>
      </c>
      <c r="C25" s="2" t="s">
        <v>21</v>
      </c>
      <c r="D25">
        <v>98</v>
      </c>
      <c r="E25" s="2">
        <v>82</v>
      </c>
    </row>
    <row r="26" spans="1:5">
      <c r="A26" s="2" t="s">
        <v>3</v>
      </c>
      <c r="B26" s="2" t="s">
        <v>58</v>
      </c>
      <c r="C26" s="2" t="s">
        <v>18</v>
      </c>
      <c r="D26">
        <v>1594</v>
      </c>
      <c r="E26" s="2">
        <v>1362</v>
      </c>
    </row>
    <row r="27" spans="1:5">
      <c r="A27" s="2" t="s">
        <v>3</v>
      </c>
      <c r="B27" s="2" t="s">
        <v>58</v>
      </c>
      <c r="C27" s="2" t="s">
        <v>17</v>
      </c>
      <c r="D27">
        <v>1856</v>
      </c>
      <c r="E27" s="2">
        <v>1627</v>
      </c>
    </row>
    <row r="28" spans="1:5">
      <c r="A28" s="2" t="s">
        <v>3</v>
      </c>
      <c r="B28" s="2" t="s">
        <v>58</v>
      </c>
      <c r="C28" s="2" t="s">
        <v>23</v>
      </c>
      <c r="D28">
        <v>5</v>
      </c>
      <c r="E28" s="2">
        <v>5</v>
      </c>
    </row>
    <row r="29" spans="1:5">
      <c r="A29" s="2" t="s">
        <v>3</v>
      </c>
      <c r="B29" s="2" t="s">
        <v>58</v>
      </c>
      <c r="C29" s="2" t="s">
        <v>14</v>
      </c>
      <c r="D29">
        <v>332</v>
      </c>
      <c r="E29" s="2">
        <v>299</v>
      </c>
    </row>
    <row r="30" spans="1:5">
      <c r="A30" s="2" t="s">
        <v>3</v>
      </c>
      <c r="B30" s="2" t="s">
        <v>58</v>
      </c>
      <c r="C30" s="2" t="s">
        <v>20</v>
      </c>
      <c r="D30">
        <v>302</v>
      </c>
      <c r="E30" s="2">
        <v>264</v>
      </c>
    </row>
    <row r="31" spans="1:5">
      <c r="A31" s="2" t="s">
        <v>3</v>
      </c>
      <c r="B31" s="2" t="s">
        <v>58</v>
      </c>
      <c r="C31" s="2" t="s">
        <v>12</v>
      </c>
      <c r="D31">
        <v>48</v>
      </c>
      <c r="E31" s="2">
        <v>46</v>
      </c>
    </row>
    <row r="32" spans="1:5">
      <c r="A32" s="2" t="s">
        <v>3</v>
      </c>
      <c r="B32" s="2" t="s">
        <v>58</v>
      </c>
      <c r="C32" s="2" t="s">
        <v>13</v>
      </c>
      <c r="D32">
        <v>120</v>
      </c>
      <c r="E32" s="2">
        <v>111</v>
      </c>
    </row>
    <row r="33" spans="1:5">
      <c r="A33" s="2" t="s">
        <v>3</v>
      </c>
      <c r="B33" s="2" t="s">
        <v>58</v>
      </c>
      <c r="C33" s="2" t="s">
        <v>16</v>
      </c>
      <c r="D33">
        <v>1219</v>
      </c>
      <c r="E33" s="2">
        <v>1079</v>
      </c>
    </row>
    <row r="34" spans="1:5">
      <c r="A34" s="2" t="s">
        <v>3</v>
      </c>
      <c r="B34" s="2" t="s">
        <v>58</v>
      </c>
      <c r="C34" s="2" t="s">
        <v>19</v>
      </c>
      <c r="D34">
        <v>890</v>
      </c>
      <c r="E34" s="2">
        <v>755</v>
      </c>
    </row>
    <row r="35" spans="1:5">
      <c r="A35" s="2" t="s">
        <v>3</v>
      </c>
      <c r="B35" s="2" t="s">
        <v>58</v>
      </c>
      <c r="C35" s="2" t="s">
        <v>22</v>
      </c>
      <c r="D35">
        <v>27</v>
      </c>
      <c r="E35" s="2">
        <v>22</v>
      </c>
    </row>
    <row r="36" spans="1:5">
      <c r="A36" s="2" t="s">
        <v>4</v>
      </c>
      <c r="B36" s="2" t="s">
        <v>56</v>
      </c>
      <c r="C36" s="2" t="s">
        <v>22</v>
      </c>
      <c r="D36">
        <v>10</v>
      </c>
      <c r="E36" s="2">
        <v>6</v>
      </c>
    </row>
    <row r="37" spans="1:5">
      <c r="A37" s="2" t="s">
        <v>4</v>
      </c>
      <c r="B37" s="2" t="s">
        <v>56</v>
      </c>
      <c r="C37" s="2" t="s">
        <v>15</v>
      </c>
      <c r="D37">
        <v>101</v>
      </c>
      <c r="E37" s="2">
        <v>55</v>
      </c>
    </row>
    <row r="38" spans="1:5">
      <c r="A38" s="2" t="s">
        <v>4</v>
      </c>
      <c r="B38" s="2" t="s">
        <v>56</v>
      </c>
      <c r="C38" s="2" t="s">
        <v>21</v>
      </c>
      <c r="D38">
        <v>18</v>
      </c>
      <c r="E38" s="2">
        <v>15</v>
      </c>
    </row>
    <row r="39" spans="1:5">
      <c r="A39" s="2" t="s">
        <v>4</v>
      </c>
      <c r="B39" s="2" t="s">
        <v>56</v>
      </c>
      <c r="C39" s="2" t="s">
        <v>18</v>
      </c>
      <c r="D39">
        <v>346</v>
      </c>
      <c r="E39" s="2">
        <v>269</v>
      </c>
    </row>
    <row r="40" spans="1:5">
      <c r="A40" s="2" t="s">
        <v>4</v>
      </c>
      <c r="B40" s="2" t="s">
        <v>56</v>
      </c>
      <c r="C40" s="2" t="s">
        <v>17</v>
      </c>
      <c r="D40">
        <v>337</v>
      </c>
      <c r="E40" s="2">
        <v>238</v>
      </c>
    </row>
    <row r="41" spans="1:5">
      <c r="A41" s="2" t="s">
        <v>4</v>
      </c>
      <c r="B41" s="2" t="s">
        <v>56</v>
      </c>
      <c r="C41" s="2" t="s">
        <v>23</v>
      </c>
      <c r="D41">
        <v>1</v>
      </c>
      <c r="E41" s="2">
        <v>0</v>
      </c>
    </row>
    <row r="42" spans="1:5">
      <c r="A42" s="2" t="s">
        <v>4</v>
      </c>
      <c r="B42" s="2" t="s">
        <v>56</v>
      </c>
      <c r="C42" s="2" t="s">
        <v>14</v>
      </c>
      <c r="D42">
        <v>77</v>
      </c>
      <c r="E42" s="2">
        <v>45</v>
      </c>
    </row>
    <row r="43" spans="1:5">
      <c r="A43" s="2" t="s">
        <v>4</v>
      </c>
      <c r="B43" s="2" t="s">
        <v>56</v>
      </c>
      <c r="C43" s="2" t="s">
        <v>20</v>
      </c>
      <c r="D43">
        <v>62</v>
      </c>
      <c r="E43" s="2">
        <v>43</v>
      </c>
    </row>
    <row r="44" spans="1:5">
      <c r="A44" s="2" t="s">
        <v>4</v>
      </c>
      <c r="B44" s="2" t="s">
        <v>56</v>
      </c>
      <c r="C44" s="2" t="s">
        <v>12</v>
      </c>
      <c r="D44">
        <v>39</v>
      </c>
      <c r="E44" s="2">
        <v>29</v>
      </c>
    </row>
    <row r="45" spans="1:5">
      <c r="A45" s="2" t="s">
        <v>4</v>
      </c>
      <c r="B45" s="2" t="s">
        <v>56</v>
      </c>
      <c r="C45" s="2" t="s">
        <v>13</v>
      </c>
      <c r="D45">
        <v>41</v>
      </c>
      <c r="E45" s="2">
        <v>24</v>
      </c>
    </row>
    <row r="46" spans="1:5">
      <c r="A46" s="2" t="s">
        <v>4</v>
      </c>
      <c r="B46" s="2" t="s">
        <v>56</v>
      </c>
      <c r="C46" s="2" t="s">
        <v>16</v>
      </c>
      <c r="D46">
        <v>207</v>
      </c>
      <c r="E46" s="2">
        <v>116</v>
      </c>
    </row>
    <row r="47" spans="1:5">
      <c r="A47" s="2" t="s">
        <v>4</v>
      </c>
      <c r="B47" s="2" t="s">
        <v>56</v>
      </c>
      <c r="C47" s="2" t="s">
        <v>19</v>
      </c>
      <c r="D47">
        <v>192</v>
      </c>
      <c r="E47" s="2">
        <v>136</v>
      </c>
    </row>
    <row r="48" spans="1:5">
      <c r="A48" s="2" t="s">
        <v>4</v>
      </c>
      <c r="B48" s="2" t="s">
        <v>57</v>
      </c>
      <c r="C48" s="2" t="s">
        <v>15</v>
      </c>
      <c r="D48">
        <v>155</v>
      </c>
      <c r="E48" s="2">
        <v>92</v>
      </c>
    </row>
    <row r="49" spans="1:5">
      <c r="A49" s="2" t="s">
        <v>4</v>
      </c>
      <c r="B49" s="2" t="s">
        <v>57</v>
      </c>
      <c r="C49" s="2" t="s">
        <v>21</v>
      </c>
      <c r="D49">
        <v>38</v>
      </c>
      <c r="E49" s="2">
        <v>24</v>
      </c>
    </row>
    <row r="50" spans="1:5">
      <c r="A50" s="2" t="s">
        <v>4</v>
      </c>
      <c r="B50" s="2" t="s">
        <v>57</v>
      </c>
      <c r="C50" s="2" t="s">
        <v>18</v>
      </c>
      <c r="D50">
        <v>627</v>
      </c>
      <c r="E50" s="2">
        <v>448</v>
      </c>
    </row>
    <row r="51" spans="1:5">
      <c r="A51" s="2" t="s">
        <v>4</v>
      </c>
      <c r="B51" s="2" t="s">
        <v>57</v>
      </c>
      <c r="C51" s="2" t="s">
        <v>17</v>
      </c>
      <c r="D51">
        <v>554</v>
      </c>
      <c r="E51" s="2">
        <v>362</v>
      </c>
    </row>
    <row r="52" spans="1:5">
      <c r="A52" s="2" t="s">
        <v>4</v>
      </c>
      <c r="B52" s="2" t="s">
        <v>57</v>
      </c>
      <c r="C52" s="2" t="s">
        <v>23</v>
      </c>
      <c r="D52">
        <v>2</v>
      </c>
      <c r="E52" s="2">
        <v>1</v>
      </c>
    </row>
    <row r="53" spans="1:5">
      <c r="A53" s="2" t="s">
        <v>4</v>
      </c>
      <c r="B53" s="2" t="s">
        <v>57</v>
      </c>
      <c r="C53" s="2" t="s">
        <v>14</v>
      </c>
      <c r="D53">
        <v>103</v>
      </c>
      <c r="E53" s="2">
        <v>72</v>
      </c>
    </row>
    <row r="54" spans="1:5">
      <c r="A54" s="2" t="s">
        <v>4</v>
      </c>
      <c r="B54" s="2" t="s">
        <v>57</v>
      </c>
      <c r="C54" s="2" t="s">
        <v>20</v>
      </c>
      <c r="D54">
        <v>108</v>
      </c>
      <c r="E54" s="2">
        <v>73</v>
      </c>
    </row>
    <row r="55" spans="1:5">
      <c r="A55" s="2" t="s">
        <v>4</v>
      </c>
      <c r="B55" s="2" t="s">
        <v>57</v>
      </c>
      <c r="C55" s="2" t="s">
        <v>12</v>
      </c>
      <c r="D55">
        <v>51</v>
      </c>
      <c r="E55" s="2">
        <v>37</v>
      </c>
    </row>
    <row r="56" spans="1:5">
      <c r="A56" s="2" t="s">
        <v>4</v>
      </c>
      <c r="B56" s="2" t="s">
        <v>57</v>
      </c>
      <c r="C56" s="2" t="s">
        <v>13</v>
      </c>
      <c r="D56">
        <v>53</v>
      </c>
      <c r="E56" s="2">
        <v>38</v>
      </c>
    </row>
    <row r="57" spans="1:5">
      <c r="A57" s="2" t="s">
        <v>4</v>
      </c>
      <c r="B57" s="2" t="s">
        <v>57</v>
      </c>
      <c r="C57" s="2" t="s">
        <v>16</v>
      </c>
      <c r="D57">
        <v>300</v>
      </c>
      <c r="E57" s="2">
        <v>175</v>
      </c>
    </row>
    <row r="58" spans="1:5">
      <c r="A58" s="2" t="s">
        <v>4</v>
      </c>
      <c r="B58" s="2" t="s">
        <v>57</v>
      </c>
      <c r="C58" s="2" t="s">
        <v>19</v>
      </c>
      <c r="D58">
        <v>380</v>
      </c>
      <c r="E58" s="2">
        <v>259</v>
      </c>
    </row>
    <row r="59" spans="1:5">
      <c r="A59" s="2" t="s">
        <v>4</v>
      </c>
      <c r="B59" s="2" t="s">
        <v>57</v>
      </c>
      <c r="C59" s="2" t="s">
        <v>22</v>
      </c>
      <c r="D59">
        <v>10</v>
      </c>
      <c r="E59" s="2">
        <v>9</v>
      </c>
    </row>
    <row r="60" spans="1:5">
      <c r="A60" s="2" t="s">
        <v>4</v>
      </c>
      <c r="B60" s="2" t="s">
        <v>58</v>
      </c>
      <c r="C60" s="2" t="s">
        <v>21</v>
      </c>
      <c r="D60">
        <v>94</v>
      </c>
      <c r="E60" s="2">
        <v>69</v>
      </c>
    </row>
    <row r="61" spans="1:5">
      <c r="A61" s="2" t="s">
        <v>4</v>
      </c>
      <c r="B61" s="2" t="s">
        <v>58</v>
      </c>
      <c r="C61" s="2" t="s">
        <v>18</v>
      </c>
      <c r="D61">
        <v>1021</v>
      </c>
      <c r="E61" s="2">
        <v>707</v>
      </c>
    </row>
    <row r="62" spans="1:5">
      <c r="A62" s="2" t="s">
        <v>4</v>
      </c>
      <c r="B62" s="2" t="s">
        <v>58</v>
      </c>
      <c r="C62" s="2" t="s">
        <v>17</v>
      </c>
      <c r="D62">
        <v>912</v>
      </c>
      <c r="E62" s="2">
        <v>656</v>
      </c>
    </row>
    <row r="63" spans="1:5">
      <c r="A63" s="2" t="s">
        <v>4</v>
      </c>
      <c r="B63" s="2" t="s">
        <v>58</v>
      </c>
      <c r="C63" s="2" t="s">
        <v>23</v>
      </c>
      <c r="D63">
        <v>5</v>
      </c>
      <c r="E63" s="2">
        <v>3</v>
      </c>
    </row>
    <row r="64" spans="1:5">
      <c r="A64" s="2" t="s">
        <v>4</v>
      </c>
      <c r="B64" s="2" t="s">
        <v>58</v>
      </c>
      <c r="C64" s="2" t="s">
        <v>14</v>
      </c>
      <c r="D64">
        <v>164</v>
      </c>
      <c r="E64" s="2">
        <v>114</v>
      </c>
    </row>
    <row r="65" spans="1:5">
      <c r="A65" s="2" t="s">
        <v>4</v>
      </c>
      <c r="B65" s="2" t="s">
        <v>58</v>
      </c>
      <c r="C65" s="2" t="s">
        <v>20</v>
      </c>
      <c r="D65">
        <v>200</v>
      </c>
      <c r="E65" s="2">
        <v>155</v>
      </c>
    </row>
    <row r="66" spans="1:5">
      <c r="A66" s="2" t="s">
        <v>4</v>
      </c>
      <c r="B66" s="2" t="s">
        <v>58</v>
      </c>
      <c r="C66" s="2" t="s">
        <v>12</v>
      </c>
      <c r="D66">
        <v>69</v>
      </c>
      <c r="E66" s="2">
        <v>55</v>
      </c>
    </row>
    <row r="67" spans="1:5">
      <c r="A67" s="2" t="s">
        <v>4</v>
      </c>
      <c r="B67" s="2" t="s">
        <v>58</v>
      </c>
      <c r="C67" s="2" t="s">
        <v>13</v>
      </c>
      <c r="D67">
        <v>85</v>
      </c>
      <c r="E67" s="2">
        <v>55</v>
      </c>
    </row>
    <row r="68" spans="1:5">
      <c r="A68" s="2" t="s">
        <v>4</v>
      </c>
      <c r="B68" s="2" t="s">
        <v>58</v>
      </c>
      <c r="C68" s="2" t="s">
        <v>16</v>
      </c>
      <c r="D68">
        <v>546</v>
      </c>
      <c r="E68" s="2">
        <v>364</v>
      </c>
    </row>
    <row r="69" spans="1:5">
      <c r="A69" s="2" t="s">
        <v>4</v>
      </c>
      <c r="B69" s="2" t="s">
        <v>58</v>
      </c>
      <c r="C69" s="2" t="s">
        <v>19</v>
      </c>
      <c r="D69">
        <v>569</v>
      </c>
      <c r="E69" s="2">
        <v>423</v>
      </c>
    </row>
    <row r="70" spans="1:5">
      <c r="A70" s="2" t="s">
        <v>4</v>
      </c>
      <c r="B70" s="2" t="s">
        <v>58</v>
      </c>
      <c r="C70" s="2" t="s">
        <v>22</v>
      </c>
      <c r="D70">
        <v>17</v>
      </c>
      <c r="E70" s="2">
        <v>11</v>
      </c>
    </row>
    <row r="71" spans="1:5">
      <c r="A71" s="2" t="s">
        <v>4</v>
      </c>
      <c r="B71" s="2" t="s">
        <v>58</v>
      </c>
      <c r="C71" s="2" t="s">
        <v>15</v>
      </c>
      <c r="D71">
        <v>257</v>
      </c>
      <c r="E71" s="2">
        <v>163</v>
      </c>
    </row>
    <row r="72" spans="1:5">
      <c r="A72" s="2" t="s">
        <v>5</v>
      </c>
      <c r="B72" s="2" t="s">
        <v>56</v>
      </c>
      <c r="C72" s="2" t="s">
        <v>15</v>
      </c>
      <c r="D72">
        <v>3</v>
      </c>
      <c r="E72" s="2">
        <v>1</v>
      </c>
    </row>
    <row r="73" spans="1:5">
      <c r="A73" s="2" t="s">
        <v>5</v>
      </c>
      <c r="B73" s="2" t="s">
        <v>56</v>
      </c>
      <c r="C73" s="2" t="s">
        <v>18</v>
      </c>
      <c r="D73">
        <v>1</v>
      </c>
      <c r="E73" s="2">
        <v>1</v>
      </c>
    </row>
    <row r="74" spans="1:5">
      <c r="A74" s="2" t="s">
        <v>5</v>
      </c>
      <c r="B74" s="2" t="s">
        <v>56</v>
      </c>
      <c r="C74" s="2" t="s">
        <v>17</v>
      </c>
      <c r="D74">
        <v>4</v>
      </c>
      <c r="E74" s="2">
        <v>2</v>
      </c>
    </row>
    <row r="75" spans="1:5">
      <c r="A75" s="2" t="s">
        <v>5</v>
      </c>
      <c r="B75" s="2" t="s">
        <v>56</v>
      </c>
      <c r="C75" s="2" t="s">
        <v>14</v>
      </c>
      <c r="D75">
        <v>2</v>
      </c>
      <c r="E75" s="2">
        <v>1</v>
      </c>
    </row>
    <row r="76" spans="1:5">
      <c r="A76" s="2" t="s">
        <v>5</v>
      </c>
      <c r="B76" s="2" t="s">
        <v>56</v>
      </c>
      <c r="C76" s="2" t="s">
        <v>19</v>
      </c>
      <c r="D76">
        <v>2</v>
      </c>
      <c r="E76" s="2">
        <v>1</v>
      </c>
    </row>
    <row r="77" spans="1:5">
      <c r="A77" s="2" t="s">
        <v>5</v>
      </c>
      <c r="B77" s="2" t="s">
        <v>57</v>
      </c>
      <c r="C77" s="2" t="s">
        <v>15</v>
      </c>
      <c r="D77">
        <v>987</v>
      </c>
      <c r="E77" s="2">
        <v>685</v>
      </c>
    </row>
    <row r="78" spans="1:5">
      <c r="A78" s="2" t="s">
        <v>5</v>
      </c>
      <c r="B78" s="2" t="s">
        <v>57</v>
      </c>
      <c r="C78" s="2" t="s">
        <v>21</v>
      </c>
      <c r="D78">
        <v>101</v>
      </c>
      <c r="E78" s="2">
        <v>69</v>
      </c>
    </row>
    <row r="79" spans="1:5">
      <c r="A79" s="2" t="s">
        <v>5</v>
      </c>
      <c r="B79" s="2" t="s">
        <v>57</v>
      </c>
      <c r="C79" s="2" t="s">
        <v>18</v>
      </c>
      <c r="D79">
        <v>1641</v>
      </c>
      <c r="E79" s="2">
        <v>1047</v>
      </c>
    </row>
    <row r="80" spans="1:5">
      <c r="A80" s="2" t="s">
        <v>5</v>
      </c>
      <c r="B80" s="2" t="s">
        <v>57</v>
      </c>
      <c r="C80" s="2" t="s">
        <v>17</v>
      </c>
      <c r="D80">
        <v>2011</v>
      </c>
      <c r="E80" s="2">
        <v>1333</v>
      </c>
    </row>
    <row r="81" spans="1:5">
      <c r="A81" s="2" t="s">
        <v>5</v>
      </c>
      <c r="B81" s="2" t="s">
        <v>57</v>
      </c>
      <c r="C81" s="2" t="s">
        <v>23</v>
      </c>
      <c r="D81">
        <v>5</v>
      </c>
      <c r="E81" s="2">
        <v>3</v>
      </c>
    </row>
    <row r="82" spans="1:5">
      <c r="A82" s="2" t="s">
        <v>5</v>
      </c>
      <c r="B82" s="2" t="s">
        <v>57</v>
      </c>
      <c r="C82" s="2" t="s">
        <v>14</v>
      </c>
      <c r="D82">
        <v>744</v>
      </c>
      <c r="E82" s="2">
        <v>527</v>
      </c>
    </row>
    <row r="83" spans="1:5">
      <c r="A83" s="2" t="s">
        <v>5</v>
      </c>
      <c r="B83" s="2" t="s">
        <v>57</v>
      </c>
      <c r="C83" s="2" t="s">
        <v>20</v>
      </c>
      <c r="D83">
        <v>271</v>
      </c>
      <c r="E83" s="2">
        <v>187</v>
      </c>
    </row>
    <row r="84" spans="1:5">
      <c r="A84" s="2" t="s">
        <v>5</v>
      </c>
      <c r="B84" s="2" t="s">
        <v>57</v>
      </c>
      <c r="C84" s="2" t="s">
        <v>12</v>
      </c>
      <c r="D84">
        <v>308</v>
      </c>
      <c r="E84" s="2">
        <v>255</v>
      </c>
    </row>
    <row r="85" spans="1:5">
      <c r="A85" s="2" t="s">
        <v>5</v>
      </c>
      <c r="B85" s="2" t="s">
        <v>57</v>
      </c>
      <c r="C85" s="2" t="s">
        <v>13</v>
      </c>
      <c r="D85">
        <v>489</v>
      </c>
      <c r="E85" s="2">
        <v>371</v>
      </c>
    </row>
    <row r="86" spans="1:5">
      <c r="A86" s="2" t="s">
        <v>5</v>
      </c>
      <c r="B86" s="2" t="s">
        <v>57</v>
      </c>
      <c r="C86" s="2" t="s">
        <v>16</v>
      </c>
      <c r="D86">
        <v>1522</v>
      </c>
      <c r="E86" s="2">
        <v>1008</v>
      </c>
    </row>
    <row r="87" spans="1:5">
      <c r="A87" s="2" t="s">
        <v>5</v>
      </c>
      <c r="B87" s="2" t="s">
        <v>57</v>
      </c>
      <c r="C87" s="2" t="s">
        <v>19</v>
      </c>
      <c r="D87">
        <v>948</v>
      </c>
      <c r="E87" s="2">
        <v>602</v>
      </c>
    </row>
    <row r="88" spans="1:5">
      <c r="A88" s="2" t="s">
        <v>5</v>
      </c>
      <c r="B88" s="2" t="s">
        <v>57</v>
      </c>
      <c r="C88" s="2" t="s">
        <v>22</v>
      </c>
      <c r="D88">
        <v>16</v>
      </c>
      <c r="E88" s="2">
        <v>11</v>
      </c>
    </row>
    <row r="89" spans="1:5">
      <c r="A89" s="2" t="s">
        <v>5</v>
      </c>
      <c r="B89" s="2" t="s">
        <v>58</v>
      </c>
      <c r="C89" s="2" t="s">
        <v>18</v>
      </c>
      <c r="D89">
        <v>1979</v>
      </c>
      <c r="E89" s="2">
        <v>1225</v>
      </c>
    </row>
    <row r="90" spans="1:5">
      <c r="A90" s="2" t="s">
        <v>5</v>
      </c>
      <c r="B90" s="2" t="s">
        <v>58</v>
      </c>
      <c r="C90" s="2" t="s">
        <v>17</v>
      </c>
      <c r="D90">
        <v>2593</v>
      </c>
      <c r="E90" s="2">
        <v>1602</v>
      </c>
    </row>
    <row r="91" spans="1:5">
      <c r="A91" s="2" t="s">
        <v>5</v>
      </c>
      <c r="B91" s="2" t="s">
        <v>58</v>
      </c>
      <c r="C91" s="2" t="s">
        <v>23</v>
      </c>
      <c r="D91">
        <v>3</v>
      </c>
      <c r="E91" s="2">
        <v>2</v>
      </c>
    </row>
    <row r="92" spans="1:5">
      <c r="A92" s="2" t="s">
        <v>5</v>
      </c>
      <c r="B92" s="2" t="s">
        <v>58</v>
      </c>
      <c r="C92" s="2" t="s">
        <v>14</v>
      </c>
      <c r="D92">
        <v>1138</v>
      </c>
      <c r="E92" s="2">
        <v>772</v>
      </c>
    </row>
    <row r="93" spans="1:5">
      <c r="A93" s="2" t="s">
        <v>5</v>
      </c>
      <c r="B93" s="2" t="s">
        <v>58</v>
      </c>
      <c r="C93" s="2" t="s">
        <v>20</v>
      </c>
      <c r="D93">
        <v>360</v>
      </c>
      <c r="E93" s="2">
        <v>251</v>
      </c>
    </row>
    <row r="94" spans="1:5">
      <c r="A94" s="2" t="s">
        <v>5</v>
      </c>
      <c r="B94" s="2" t="s">
        <v>58</v>
      </c>
      <c r="C94" s="2" t="s">
        <v>12</v>
      </c>
      <c r="D94">
        <v>539</v>
      </c>
      <c r="E94" s="2">
        <v>430</v>
      </c>
    </row>
    <row r="95" spans="1:5">
      <c r="A95" s="2" t="s">
        <v>5</v>
      </c>
      <c r="B95" s="2" t="s">
        <v>58</v>
      </c>
      <c r="C95" s="2" t="s">
        <v>13</v>
      </c>
      <c r="D95">
        <v>581</v>
      </c>
      <c r="E95" s="2">
        <v>410</v>
      </c>
    </row>
    <row r="96" spans="1:5">
      <c r="A96" s="2" t="s">
        <v>5</v>
      </c>
      <c r="B96" s="2" t="s">
        <v>58</v>
      </c>
      <c r="C96" s="2" t="s">
        <v>16</v>
      </c>
      <c r="D96">
        <v>2029</v>
      </c>
      <c r="E96" s="2">
        <v>1208</v>
      </c>
    </row>
    <row r="97" spans="1:5">
      <c r="A97" s="2" t="s">
        <v>5</v>
      </c>
      <c r="B97" s="2" t="s">
        <v>58</v>
      </c>
      <c r="C97" s="2" t="s">
        <v>19</v>
      </c>
      <c r="D97">
        <v>1079</v>
      </c>
      <c r="E97" s="2">
        <v>683</v>
      </c>
    </row>
    <row r="98" spans="1:5">
      <c r="A98" s="2" t="s">
        <v>5</v>
      </c>
      <c r="B98" s="2" t="s">
        <v>58</v>
      </c>
      <c r="C98" s="2" t="s">
        <v>22</v>
      </c>
      <c r="D98">
        <v>19</v>
      </c>
      <c r="E98" s="2">
        <v>10</v>
      </c>
    </row>
    <row r="99" spans="1:5">
      <c r="A99" s="2" t="s">
        <v>5</v>
      </c>
      <c r="B99" s="2" t="s">
        <v>58</v>
      </c>
      <c r="C99" s="2" t="s">
        <v>15</v>
      </c>
      <c r="D99">
        <v>1389</v>
      </c>
      <c r="E99" s="2">
        <v>838</v>
      </c>
    </row>
    <row r="100" spans="1:5">
      <c r="A100" s="2" t="s">
        <v>5</v>
      </c>
      <c r="B100" s="2" t="s">
        <v>58</v>
      </c>
      <c r="C100" s="2" t="s">
        <v>21</v>
      </c>
      <c r="D100">
        <v>113</v>
      </c>
      <c r="E100" s="2">
        <v>77</v>
      </c>
    </row>
    <row r="101" spans="1:5">
      <c r="A101" s="2" t="s">
        <v>6</v>
      </c>
      <c r="B101" s="2" t="s">
        <v>56</v>
      </c>
      <c r="C101" s="2" t="s">
        <v>22</v>
      </c>
      <c r="D101">
        <v>2</v>
      </c>
      <c r="E101" s="2">
        <v>2</v>
      </c>
    </row>
    <row r="102" spans="1:5">
      <c r="A102" s="2" t="s">
        <v>6</v>
      </c>
      <c r="B102" s="2" t="s">
        <v>56</v>
      </c>
      <c r="C102" s="2" t="s">
        <v>15</v>
      </c>
      <c r="D102">
        <v>131</v>
      </c>
      <c r="E102" s="2">
        <v>110</v>
      </c>
    </row>
    <row r="103" spans="1:5">
      <c r="A103" s="2" t="s">
        <v>6</v>
      </c>
      <c r="B103" s="2" t="s">
        <v>56</v>
      </c>
      <c r="C103" s="2" t="s">
        <v>21</v>
      </c>
      <c r="D103">
        <v>14</v>
      </c>
      <c r="E103" s="2">
        <v>11</v>
      </c>
    </row>
    <row r="104" spans="1:5">
      <c r="A104" s="2" t="s">
        <v>6</v>
      </c>
      <c r="B104" s="2" t="s">
        <v>56</v>
      </c>
      <c r="C104" s="2" t="s">
        <v>18</v>
      </c>
      <c r="D104">
        <v>291</v>
      </c>
      <c r="E104" s="2">
        <v>235</v>
      </c>
    </row>
    <row r="105" spans="1:5">
      <c r="A105" s="2" t="s">
        <v>6</v>
      </c>
      <c r="B105" s="2" t="s">
        <v>56</v>
      </c>
      <c r="C105" s="2" t="s">
        <v>17</v>
      </c>
      <c r="D105">
        <v>318</v>
      </c>
      <c r="E105" s="2">
        <v>252</v>
      </c>
    </row>
    <row r="106" spans="1:5">
      <c r="A106" s="2" t="s">
        <v>6</v>
      </c>
      <c r="B106" s="2" t="s">
        <v>56</v>
      </c>
      <c r="C106" s="2" t="s">
        <v>14</v>
      </c>
      <c r="D106">
        <v>140</v>
      </c>
      <c r="E106" s="2">
        <v>119</v>
      </c>
    </row>
    <row r="107" spans="1:5">
      <c r="A107" s="2" t="s">
        <v>6</v>
      </c>
      <c r="B107" s="2" t="s">
        <v>56</v>
      </c>
      <c r="C107" s="2" t="s">
        <v>20</v>
      </c>
      <c r="D107">
        <v>37</v>
      </c>
      <c r="E107" s="2">
        <v>28</v>
      </c>
    </row>
    <row r="108" spans="1:5">
      <c r="A108" s="2" t="s">
        <v>6</v>
      </c>
      <c r="B108" s="2" t="s">
        <v>56</v>
      </c>
      <c r="C108" s="2" t="s">
        <v>12</v>
      </c>
      <c r="D108">
        <v>46</v>
      </c>
      <c r="E108" s="2">
        <v>42</v>
      </c>
    </row>
    <row r="109" spans="1:5">
      <c r="A109" s="2" t="s">
        <v>6</v>
      </c>
      <c r="B109" s="2" t="s">
        <v>56</v>
      </c>
      <c r="C109" s="2" t="s">
        <v>13</v>
      </c>
      <c r="D109">
        <v>66</v>
      </c>
      <c r="E109" s="2">
        <v>57</v>
      </c>
    </row>
    <row r="110" spans="1:5">
      <c r="A110" s="2" t="s">
        <v>6</v>
      </c>
      <c r="B110" s="2" t="s">
        <v>56</v>
      </c>
      <c r="C110" s="2" t="s">
        <v>16</v>
      </c>
      <c r="D110">
        <v>218</v>
      </c>
      <c r="E110" s="2">
        <v>181</v>
      </c>
    </row>
    <row r="111" spans="1:5">
      <c r="A111" s="2" t="s">
        <v>6</v>
      </c>
      <c r="B111" s="2" t="s">
        <v>56</v>
      </c>
      <c r="C111" s="2" t="s">
        <v>19</v>
      </c>
      <c r="D111">
        <v>127</v>
      </c>
      <c r="E111" s="2">
        <v>92</v>
      </c>
    </row>
    <row r="112" spans="1:5">
      <c r="A112" s="2" t="s">
        <v>6</v>
      </c>
      <c r="B112" s="2" t="s">
        <v>57</v>
      </c>
      <c r="C112" s="2" t="s">
        <v>15</v>
      </c>
      <c r="D112">
        <v>1464</v>
      </c>
      <c r="E112" s="2">
        <v>1117</v>
      </c>
    </row>
    <row r="113" spans="1:5">
      <c r="A113" s="2" t="s">
        <v>6</v>
      </c>
      <c r="B113" s="2" t="s">
        <v>57</v>
      </c>
      <c r="C113" s="2" t="s">
        <v>21</v>
      </c>
      <c r="D113">
        <v>150</v>
      </c>
      <c r="E113" s="2">
        <v>99</v>
      </c>
    </row>
    <row r="114" spans="1:5">
      <c r="A114" s="2" t="s">
        <v>6</v>
      </c>
      <c r="B114" s="2" t="s">
        <v>57</v>
      </c>
      <c r="C114" s="2" t="s">
        <v>18</v>
      </c>
      <c r="D114">
        <v>2114</v>
      </c>
      <c r="E114" s="2">
        <v>1547</v>
      </c>
    </row>
    <row r="115" spans="1:5">
      <c r="A115" s="2" t="s">
        <v>6</v>
      </c>
      <c r="B115" s="2" t="s">
        <v>57</v>
      </c>
      <c r="C115" s="2" t="s">
        <v>17</v>
      </c>
      <c r="D115">
        <v>2576</v>
      </c>
      <c r="E115" s="2">
        <v>1922</v>
      </c>
    </row>
    <row r="116" spans="1:5">
      <c r="A116" s="2" t="s">
        <v>6</v>
      </c>
      <c r="B116" s="2" t="s">
        <v>57</v>
      </c>
      <c r="C116" s="2" t="s">
        <v>23</v>
      </c>
      <c r="D116">
        <v>9</v>
      </c>
      <c r="E116" s="2">
        <v>9</v>
      </c>
    </row>
    <row r="117" spans="1:5">
      <c r="A117" s="2" t="s">
        <v>6</v>
      </c>
      <c r="B117" s="2" t="s">
        <v>57</v>
      </c>
      <c r="C117" s="2" t="s">
        <v>14</v>
      </c>
      <c r="D117">
        <v>1338</v>
      </c>
      <c r="E117" s="2">
        <v>1063</v>
      </c>
    </row>
    <row r="118" spans="1:5">
      <c r="A118" s="2" t="s">
        <v>6</v>
      </c>
      <c r="B118" s="2" t="s">
        <v>57</v>
      </c>
      <c r="C118" s="2" t="s">
        <v>20</v>
      </c>
      <c r="D118">
        <v>385</v>
      </c>
      <c r="E118" s="2">
        <v>297</v>
      </c>
    </row>
    <row r="119" spans="1:5">
      <c r="A119" s="2" t="s">
        <v>6</v>
      </c>
      <c r="B119" s="2" t="s">
        <v>57</v>
      </c>
      <c r="C119" s="2" t="s">
        <v>12</v>
      </c>
      <c r="D119">
        <v>576</v>
      </c>
      <c r="E119" s="2">
        <v>517</v>
      </c>
    </row>
    <row r="120" spans="1:5">
      <c r="A120" s="2" t="s">
        <v>6</v>
      </c>
      <c r="B120" s="2" t="s">
        <v>57</v>
      </c>
      <c r="C120" s="2" t="s">
        <v>13</v>
      </c>
      <c r="D120">
        <v>779</v>
      </c>
      <c r="E120" s="2">
        <v>666</v>
      </c>
    </row>
    <row r="121" spans="1:5">
      <c r="A121" s="2" t="s">
        <v>6</v>
      </c>
      <c r="B121" s="2" t="s">
        <v>57</v>
      </c>
      <c r="C121" s="2" t="s">
        <v>16</v>
      </c>
      <c r="D121">
        <v>1987</v>
      </c>
      <c r="E121" s="2">
        <v>1463</v>
      </c>
    </row>
    <row r="122" spans="1:5">
      <c r="A122" s="2" t="s">
        <v>6</v>
      </c>
      <c r="B122" s="2" t="s">
        <v>57</v>
      </c>
      <c r="C122" s="2" t="s">
        <v>19</v>
      </c>
      <c r="D122">
        <v>1188</v>
      </c>
      <c r="E122" s="2">
        <v>846</v>
      </c>
    </row>
    <row r="123" spans="1:5">
      <c r="A123" s="2" t="s">
        <v>6</v>
      </c>
      <c r="B123" s="2" t="s">
        <v>57</v>
      </c>
      <c r="C123" s="2" t="s">
        <v>22</v>
      </c>
      <c r="D123">
        <v>33</v>
      </c>
      <c r="E123" s="2">
        <v>25</v>
      </c>
    </row>
    <row r="124" spans="1:5">
      <c r="A124" s="2" t="s">
        <v>6</v>
      </c>
      <c r="B124" s="2" t="s">
        <v>58</v>
      </c>
      <c r="C124" s="2" t="s">
        <v>15</v>
      </c>
      <c r="D124">
        <v>1378</v>
      </c>
      <c r="E124" s="2">
        <v>1060</v>
      </c>
    </row>
    <row r="125" spans="1:5">
      <c r="A125" s="2" t="s">
        <v>6</v>
      </c>
      <c r="B125" s="2" t="s">
        <v>58</v>
      </c>
      <c r="C125" s="2" t="s">
        <v>21</v>
      </c>
      <c r="D125">
        <v>156</v>
      </c>
      <c r="E125" s="2">
        <v>109</v>
      </c>
    </row>
    <row r="126" spans="1:5">
      <c r="A126" s="2" t="s">
        <v>6</v>
      </c>
      <c r="B126" s="2" t="s">
        <v>58</v>
      </c>
      <c r="C126" s="2" t="s">
        <v>18</v>
      </c>
      <c r="D126">
        <v>1992</v>
      </c>
      <c r="E126" s="2">
        <v>1428</v>
      </c>
    </row>
    <row r="127" spans="1:5">
      <c r="A127" s="2" t="s">
        <v>6</v>
      </c>
      <c r="B127" s="2" t="s">
        <v>58</v>
      </c>
      <c r="C127" s="2" t="s">
        <v>25</v>
      </c>
      <c r="D127">
        <v>1</v>
      </c>
      <c r="E127" s="2">
        <v>0</v>
      </c>
    </row>
    <row r="128" spans="1:5">
      <c r="A128" s="2" t="s">
        <v>6</v>
      </c>
      <c r="B128" s="2" t="s">
        <v>58</v>
      </c>
      <c r="C128" s="2" t="s">
        <v>17</v>
      </c>
      <c r="D128">
        <v>2571</v>
      </c>
      <c r="E128" s="2">
        <v>1877</v>
      </c>
    </row>
    <row r="129" spans="1:5">
      <c r="A129" s="2" t="s">
        <v>6</v>
      </c>
      <c r="B129" s="2" t="s">
        <v>58</v>
      </c>
      <c r="C129" s="2" t="s">
        <v>23</v>
      </c>
      <c r="D129">
        <v>7</v>
      </c>
      <c r="E129" s="2">
        <v>4</v>
      </c>
    </row>
    <row r="130" spans="1:5">
      <c r="A130" s="2" t="s">
        <v>6</v>
      </c>
      <c r="B130" s="2" t="s">
        <v>58</v>
      </c>
      <c r="C130" s="2" t="s">
        <v>14</v>
      </c>
      <c r="D130">
        <v>1108</v>
      </c>
      <c r="E130" s="2">
        <v>873</v>
      </c>
    </row>
    <row r="131" spans="1:5">
      <c r="A131" s="2" t="s">
        <v>6</v>
      </c>
      <c r="B131" s="2" t="s">
        <v>58</v>
      </c>
      <c r="C131" s="2" t="s">
        <v>20</v>
      </c>
      <c r="D131">
        <v>463</v>
      </c>
      <c r="E131" s="2">
        <v>345</v>
      </c>
    </row>
    <row r="132" spans="1:5">
      <c r="A132" s="2" t="s">
        <v>6</v>
      </c>
      <c r="B132" s="2" t="s">
        <v>58</v>
      </c>
      <c r="C132" s="2" t="s">
        <v>12</v>
      </c>
      <c r="D132">
        <v>607</v>
      </c>
      <c r="E132" s="2">
        <v>539</v>
      </c>
    </row>
    <row r="133" spans="1:5">
      <c r="A133" s="2" t="s">
        <v>6</v>
      </c>
      <c r="B133" s="2" t="s">
        <v>58</v>
      </c>
      <c r="C133" s="2" t="s">
        <v>13</v>
      </c>
      <c r="D133">
        <v>694</v>
      </c>
      <c r="E133" s="2">
        <v>578</v>
      </c>
    </row>
    <row r="134" spans="1:5">
      <c r="A134" s="2" t="s">
        <v>6</v>
      </c>
      <c r="B134" s="2" t="s">
        <v>58</v>
      </c>
      <c r="C134" s="2" t="s">
        <v>16</v>
      </c>
      <c r="D134">
        <v>1851</v>
      </c>
      <c r="E134" s="2">
        <v>1377</v>
      </c>
    </row>
    <row r="135" spans="1:5">
      <c r="A135" s="2" t="s">
        <v>6</v>
      </c>
      <c r="B135" s="2" t="s">
        <v>58</v>
      </c>
      <c r="C135" s="2" t="s">
        <v>19</v>
      </c>
      <c r="D135">
        <v>1231</v>
      </c>
      <c r="E135" s="2">
        <v>897</v>
      </c>
    </row>
    <row r="136" spans="1:5">
      <c r="A136" s="2" t="s">
        <v>6</v>
      </c>
      <c r="B136" s="2" t="s">
        <v>58</v>
      </c>
      <c r="C136" s="2" t="s">
        <v>22</v>
      </c>
      <c r="D136">
        <v>33</v>
      </c>
      <c r="E136" s="2">
        <v>23</v>
      </c>
    </row>
    <row r="137" spans="1:5">
      <c r="A137" s="2" t="s">
        <v>7</v>
      </c>
      <c r="B137" s="2" t="s">
        <v>56</v>
      </c>
      <c r="C137" s="2" t="s">
        <v>19</v>
      </c>
      <c r="D137">
        <v>173</v>
      </c>
      <c r="E137" s="2">
        <v>133</v>
      </c>
    </row>
    <row r="138" spans="1:5">
      <c r="A138" s="2" t="s">
        <v>7</v>
      </c>
      <c r="B138" s="2" t="s">
        <v>56</v>
      </c>
      <c r="C138" s="2" t="s">
        <v>22</v>
      </c>
      <c r="D138">
        <v>4</v>
      </c>
      <c r="E138" s="2">
        <v>4</v>
      </c>
    </row>
    <row r="139" spans="1:5">
      <c r="A139" s="2" t="s">
        <v>7</v>
      </c>
      <c r="B139" s="2" t="s">
        <v>56</v>
      </c>
      <c r="C139" s="2" t="s">
        <v>15</v>
      </c>
      <c r="D139">
        <v>117</v>
      </c>
      <c r="E139" s="2">
        <v>86</v>
      </c>
    </row>
    <row r="140" spans="1:5">
      <c r="A140" s="2" t="s">
        <v>7</v>
      </c>
      <c r="B140" s="2" t="s">
        <v>56</v>
      </c>
      <c r="C140" s="2" t="s">
        <v>21</v>
      </c>
      <c r="D140">
        <v>24</v>
      </c>
      <c r="E140" s="2">
        <v>20</v>
      </c>
    </row>
    <row r="141" spans="1:5">
      <c r="A141" s="2" t="s">
        <v>7</v>
      </c>
      <c r="B141" s="2" t="s">
        <v>56</v>
      </c>
      <c r="C141" s="2" t="s">
        <v>18</v>
      </c>
      <c r="D141">
        <v>279</v>
      </c>
      <c r="E141" s="2">
        <v>204</v>
      </c>
    </row>
    <row r="142" spans="1:5">
      <c r="A142" s="2" t="s">
        <v>7</v>
      </c>
      <c r="B142" s="2" t="s">
        <v>56</v>
      </c>
      <c r="C142" s="2" t="s">
        <v>17</v>
      </c>
      <c r="D142">
        <v>295</v>
      </c>
      <c r="E142" s="2">
        <v>222</v>
      </c>
    </row>
    <row r="143" spans="1:5">
      <c r="A143" s="2" t="s">
        <v>7</v>
      </c>
      <c r="B143" s="2" t="s">
        <v>56</v>
      </c>
      <c r="C143" s="2" t="s">
        <v>23</v>
      </c>
      <c r="D143">
        <v>1</v>
      </c>
      <c r="E143" s="2">
        <v>1</v>
      </c>
    </row>
    <row r="144" spans="1:5">
      <c r="A144" s="2" t="s">
        <v>7</v>
      </c>
      <c r="B144" s="2" t="s">
        <v>56</v>
      </c>
      <c r="C144" s="2" t="s">
        <v>14</v>
      </c>
      <c r="D144">
        <v>74</v>
      </c>
      <c r="E144" s="2">
        <v>61</v>
      </c>
    </row>
    <row r="145" spans="1:5">
      <c r="A145" s="2" t="s">
        <v>7</v>
      </c>
      <c r="B145" s="2" t="s">
        <v>56</v>
      </c>
      <c r="C145" s="2" t="s">
        <v>20</v>
      </c>
      <c r="D145">
        <v>66</v>
      </c>
      <c r="E145" s="2">
        <v>55</v>
      </c>
    </row>
    <row r="146" spans="1:5">
      <c r="A146" s="2" t="s">
        <v>7</v>
      </c>
      <c r="B146" s="2" t="s">
        <v>56</v>
      </c>
      <c r="C146" s="2" t="s">
        <v>12</v>
      </c>
      <c r="D146">
        <v>7</v>
      </c>
      <c r="E146" s="2">
        <v>5</v>
      </c>
    </row>
    <row r="147" spans="1:5">
      <c r="A147" s="2" t="s">
        <v>7</v>
      </c>
      <c r="B147" s="2" t="s">
        <v>56</v>
      </c>
      <c r="C147" s="2" t="s">
        <v>13</v>
      </c>
      <c r="D147">
        <v>37</v>
      </c>
      <c r="E147" s="2">
        <v>31</v>
      </c>
    </row>
    <row r="148" spans="1:5">
      <c r="A148" s="2" t="s">
        <v>7</v>
      </c>
      <c r="B148" s="2" t="s">
        <v>56</v>
      </c>
      <c r="C148" s="2" t="s">
        <v>16</v>
      </c>
      <c r="D148">
        <v>197</v>
      </c>
      <c r="E148" s="2">
        <v>158</v>
      </c>
    </row>
    <row r="149" spans="1:5">
      <c r="A149" s="2" t="s">
        <v>7</v>
      </c>
      <c r="B149" s="2" t="s">
        <v>57</v>
      </c>
      <c r="C149" s="2" t="s">
        <v>22</v>
      </c>
      <c r="D149">
        <v>63</v>
      </c>
      <c r="E149" s="2">
        <v>53</v>
      </c>
    </row>
    <row r="150" spans="1:5">
      <c r="A150" s="2" t="s">
        <v>7</v>
      </c>
      <c r="B150" s="2" t="s">
        <v>57</v>
      </c>
      <c r="C150" s="2" t="s">
        <v>15</v>
      </c>
      <c r="D150">
        <v>2071</v>
      </c>
      <c r="E150" s="2">
        <v>1612</v>
      </c>
    </row>
    <row r="151" spans="1:5">
      <c r="A151" s="2" t="s">
        <v>7</v>
      </c>
      <c r="B151" s="2" t="s">
        <v>57</v>
      </c>
      <c r="C151" s="2" t="s">
        <v>21</v>
      </c>
      <c r="D151">
        <v>263</v>
      </c>
      <c r="E151" s="2">
        <v>206</v>
      </c>
    </row>
    <row r="152" spans="1:5">
      <c r="A152" s="2" t="s">
        <v>7</v>
      </c>
      <c r="B152" s="2" t="s">
        <v>57</v>
      </c>
      <c r="C152" s="2" t="s">
        <v>18</v>
      </c>
      <c r="D152">
        <v>4442</v>
      </c>
      <c r="E152" s="2">
        <v>3337</v>
      </c>
    </row>
    <row r="153" spans="1:5">
      <c r="A153" s="2" t="s">
        <v>7</v>
      </c>
      <c r="B153" s="2" t="s">
        <v>57</v>
      </c>
      <c r="C153" s="2" t="s">
        <v>17</v>
      </c>
      <c r="D153">
        <v>5035</v>
      </c>
      <c r="E153" s="2">
        <v>3803</v>
      </c>
    </row>
    <row r="154" spans="1:5">
      <c r="A154" s="2" t="s">
        <v>7</v>
      </c>
      <c r="B154" s="2" t="s">
        <v>57</v>
      </c>
      <c r="C154" s="2" t="s">
        <v>23</v>
      </c>
      <c r="D154">
        <v>10</v>
      </c>
      <c r="E154" s="2">
        <v>8</v>
      </c>
    </row>
    <row r="155" spans="1:5">
      <c r="A155" s="2" t="s">
        <v>7</v>
      </c>
      <c r="B155" s="2" t="s">
        <v>57</v>
      </c>
      <c r="C155" s="2" t="s">
        <v>14</v>
      </c>
      <c r="D155">
        <v>1648</v>
      </c>
      <c r="E155" s="2">
        <v>1357</v>
      </c>
    </row>
    <row r="156" spans="1:5">
      <c r="A156" s="2" t="s">
        <v>7</v>
      </c>
      <c r="B156" s="2" t="s">
        <v>57</v>
      </c>
      <c r="C156" s="2" t="s">
        <v>20</v>
      </c>
      <c r="D156">
        <v>785</v>
      </c>
      <c r="E156" s="2">
        <v>558</v>
      </c>
    </row>
    <row r="157" spans="1:5">
      <c r="A157" s="2" t="s">
        <v>7</v>
      </c>
      <c r="B157" s="2" t="s">
        <v>57</v>
      </c>
      <c r="C157" s="2" t="s">
        <v>12</v>
      </c>
      <c r="D157">
        <v>403</v>
      </c>
      <c r="E157" s="2">
        <v>340</v>
      </c>
    </row>
    <row r="158" spans="1:5">
      <c r="A158" s="2" t="s">
        <v>7</v>
      </c>
      <c r="B158" s="2" t="s">
        <v>57</v>
      </c>
      <c r="C158" s="2" t="s">
        <v>13</v>
      </c>
      <c r="D158">
        <v>799</v>
      </c>
      <c r="E158" s="2">
        <v>659</v>
      </c>
    </row>
    <row r="159" spans="1:5">
      <c r="A159" s="2" t="s">
        <v>7</v>
      </c>
      <c r="B159" s="2" t="s">
        <v>57</v>
      </c>
      <c r="C159" s="2" t="s">
        <v>16</v>
      </c>
      <c r="D159">
        <v>3488</v>
      </c>
      <c r="E159" s="2">
        <v>2682</v>
      </c>
    </row>
    <row r="160" spans="1:5">
      <c r="A160" s="2" t="s">
        <v>7</v>
      </c>
      <c r="B160" s="2" t="s">
        <v>57</v>
      </c>
      <c r="C160" s="2" t="s">
        <v>19</v>
      </c>
      <c r="D160">
        <v>2519</v>
      </c>
      <c r="E160" s="2">
        <v>1849</v>
      </c>
    </row>
    <row r="161" spans="1:5">
      <c r="A161" s="2" t="s">
        <v>7</v>
      </c>
      <c r="B161" s="2" t="s">
        <v>58</v>
      </c>
      <c r="C161" s="2" t="s">
        <v>15</v>
      </c>
      <c r="D161">
        <v>1851</v>
      </c>
      <c r="E161" s="2">
        <v>1583</v>
      </c>
    </row>
    <row r="162" spans="1:5">
      <c r="A162" s="2" t="s">
        <v>7</v>
      </c>
      <c r="B162" s="2" t="s">
        <v>58</v>
      </c>
      <c r="C162" s="2" t="s">
        <v>21</v>
      </c>
      <c r="D162">
        <v>291</v>
      </c>
      <c r="E162" s="2">
        <v>234</v>
      </c>
    </row>
    <row r="163" spans="1:5">
      <c r="A163" s="2" t="s">
        <v>7</v>
      </c>
      <c r="B163" s="2" t="s">
        <v>58</v>
      </c>
      <c r="C163" s="2" t="s">
        <v>18</v>
      </c>
      <c r="D163">
        <v>5871</v>
      </c>
      <c r="E163" s="2">
        <v>4963</v>
      </c>
    </row>
    <row r="164" spans="1:5">
      <c r="A164" s="2" t="s">
        <v>7</v>
      </c>
      <c r="B164" s="2" t="s">
        <v>58</v>
      </c>
      <c r="C164" s="2" t="s">
        <v>17</v>
      </c>
      <c r="D164">
        <v>6890</v>
      </c>
      <c r="E164" s="2">
        <v>5835</v>
      </c>
    </row>
    <row r="165" spans="1:5">
      <c r="A165" s="2" t="s">
        <v>7</v>
      </c>
      <c r="B165" s="2" t="s">
        <v>58</v>
      </c>
      <c r="C165" s="2" t="s">
        <v>23</v>
      </c>
      <c r="D165">
        <v>7</v>
      </c>
      <c r="E165" s="2">
        <v>6</v>
      </c>
    </row>
    <row r="166" spans="1:5">
      <c r="A166" s="2" t="s">
        <v>7</v>
      </c>
      <c r="B166" s="2" t="s">
        <v>58</v>
      </c>
      <c r="C166" s="2" t="s">
        <v>14</v>
      </c>
      <c r="D166">
        <v>1014</v>
      </c>
      <c r="E166" s="2">
        <v>840</v>
      </c>
    </row>
    <row r="167" spans="1:5">
      <c r="A167" s="2" t="s">
        <v>7</v>
      </c>
      <c r="B167" s="2" t="s">
        <v>58</v>
      </c>
      <c r="C167" s="2" t="s">
        <v>20</v>
      </c>
      <c r="D167">
        <v>944</v>
      </c>
      <c r="E167" s="2">
        <v>811</v>
      </c>
    </row>
    <row r="168" spans="1:5">
      <c r="A168" s="2" t="s">
        <v>7</v>
      </c>
      <c r="B168" s="2" t="s">
        <v>58</v>
      </c>
      <c r="C168" s="2" t="s">
        <v>12</v>
      </c>
      <c r="D168">
        <v>204</v>
      </c>
      <c r="E168" s="2">
        <v>184</v>
      </c>
    </row>
    <row r="169" spans="1:5">
      <c r="A169" s="2" t="s">
        <v>7</v>
      </c>
      <c r="B169" s="2" t="s">
        <v>58</v>
      </c>
      <c r="C169" s="2" t="s">
        <v>13</v>
      </c>
      <c r="D169">
        <v>364</v>
      </c>
      <c r="E169" s="2">
        <v>309</v>
      </c>
    </row>
    <row r="170" spans="1:5">
      <c r="A170" s="2" t="s">
        <v>7</v>
      </c>
      <c r="B170" s="2" t="s">
        <v>58</v>
      </c>
      <c r="C170" s="2" t="s">
        <v>16</v>
      </c>
      <c r="D170">
        <v>4054</v>
      </c>
      <c r="E170" s="2">
        <v>3452</v>
      </c>
    </row>
    <row r="171" spans="1:5">
      <c r="A171" s="2" t="s">
        <v>7</v>
      </c>
      <c r="B171" s="2" t="s">
        <v>58</v>
      </c>
      <c r="C171" s="2" t="s">
        <v>19</v>
      </c>
      <c r="D171">
        <v>3124</v>
      </c>
      <c r="E171" s="2">
        <v>2558</v>
      </c>
    </row>
    <row r="172" spans="1:5">
      <c r="A172" s="2" t="s">
        <v>7</v>
      </c>
      <c r="B172" s="2" t="s">
        <v>58</v>
      </c>
      <c r="C172" s="2" t="s">
        <v>22</v>
      </c>
      <c r="D172">
        <v>56</v>
      </c>
      <c r="E172" s="2">
        <v>47</v>
      </c>
    </row>
    <row r="173" spans="1:5">
      <c r="A173" s="2" t="s">
        <v>8</v>
      </c>
      <c r="B173" s="2" t="s">
        <v>56</v>
      </c>
      <c r="C173" s="2" t="s">
        <v>18</v>
      </c>
      <c r="D173">
        <v>28</v>
      </c>
      <c r="E173" s="2">
        <v>19</v>
      </c>
    </row>
    <row r="174" spans="1:5">
      <c r="A174" s="2" t="s">
        <v>8</v>
      </c>
      <c r="B174" s="2" t="s">
        <v>56</v>
      </c>
      <c r="C174" s="2" t="s">
        <v>17</v>
      </c>
      <c r="D174">
        <v>30</v>
      </c>
      <c r="E174" s="2">
        <v>19</v>
      </c>
    </row>
    <row r="175" spans="1:5">
      <c r="A175" s="2" t="s">
        <v>8</v>
      </c>
      <c r="B175" s="2" t="s">
        <v>56</v>
      </c>
      <c r="C175" s="2" t="s">
        <v>14</v>
      </c>
      <c r="D175">
        <v>53</v>
      </c>
      <c r="E175" s="2">
        <v>26</v>
      </c>
    </row>
    <row r="176" spans="1:5">
      <c r="A176" s="2" t="s">
        <v>8</v>
      </c>
      <c r="B176" s="2" t="s">
        <v>56</v>
      </c>
      <c r="C176" s="2" t="s">
        <v>20</v>
      </c>
      <c r="D176">
        <v>4</v>
      </c>
      <c r="E176" s="2">
        <v>2</v>
      </c>
    </row>
    <row r="177" spans="1:5">
      <c r="A177" s="2" t="s">
        <v>8</v>
      </c>
      <c r="B177" s="2" t="s">
        <v>56</v>
      </c>
      <c r="C177" s="2" t="s">
        <v>12</v>
      </c>
      <c r="D177">
        <v>21</v>
      </c>
      <c r="E177" s="2">
        <v>17</v>
      </c>
    </row>
    <row r="178" spans="1:5">
      <c r="A178" s="2" t="s">
        <v>8</v>
      </c>
      <c r="B178" s="2" t="s">
        <v>56</v>
      </c>
      <c r="C178" s="2" t="s">
        <v>13</v>
      </c>
      <c r="D178">
        <v>20</v>
      </c>
      <c r="E178" s="2">
        <v>13</v>
      </c>
    </row>
    <row r="179" spans="1:5">
      <c r="A179" s="2" t="s">
        <v>8</v>
      </c>
      <c r="B179" s="2" t="s">
        <v>56</v>
      </c>
      <c r="C179" s="2" t="s">
        <v>16</v>
      </c>
      <c r="D179">
        <v>25</v>
      </c>
      <c r="E179" s="2">
        <v>17</v>
      </c>
    </row>
    <row r="180" spans="1:5">
      <c r="A180" s="2" t="s">
        <v>8</v>
      </c>
      <c r="B180" s="2" t="s">
        <v>56</v>
      </c>
      <c r="C180" s="2" t="s">
        <v>19</v>
      </c>
      <c r="D180">
        <v>7</v>
      </c>
      <c r="E180" s="2">
        <v>4</v>
      </c>
    </row>
    <row r="181" spans="1:5">
      <c r="A181" s="2" t="s">
        <v>8</v>
      </c>
      <c r="B181" s="2" t="s">
        <v>56</v>
      </c>
      <c r="C181" s="2" t="s">
        <v>15</v>
      </c>
      <c r="D181">
        <v>15</v>
      </c>
      <c r="E181" s="2">
        <v>10</v>
      </c>
    </row>
    <row r="182" spans="1:5">
      <c r="A182" s="2" t="s">
        <v>8</v>
      </c>
      <c r="B182" s="2" t="s">
        <v>56</v>
      </c>
      <c r="C182" s="2" t="s">
        <v>21</v>
      </c>
      <c r="D182">
        <v>1</v>
      </c>
      <c r="E182" s="2">
        <v>1</v>
      </c>
    </row>
    <row r="183" spans="1:5">
      <c r="A183" s="2" t="s">
        <v>8</v>
      </c>
      <c r="B183" s="2" t="s">
        <v>57</v>
      </c>
      <c r="C183" s="2" t="s">
        <v>17</v>
      </c>
      <c r="D183">
        <v>5995</v>
      </c>
      <c r="E183" s="2">
        <v>4959</v>
      </c>
    </row>
    <row r="184" spans="1:5">
      <c r="A184" s="2" t="s">
        <v>8</v>
      </c>
      <c r="B184" s="2" t="s">
        <v>57</v>
      </c>
      <c r="C184" s="2" t="s">
        <v>23</v>
      </c>
      <c r="D184">
        <v>20</v>
      </c>
      <c r="E184" s="2">
        <v>19</v>
      </c>
    </row>
    <row r="185" spans="1:5">
      <c r="A185" s="2" t="s">
        <v>8</v>
      </c>
      <c r="B185" s="2" t="s">
        <v>57</v>
      </c>
      <c r="C185" s="2" t="s">
        <v>14</v>
      </c>
      <c r="D185">
        <v>3045</v>
      </c>
      <c r="E185" s="2">
        <v>2670</v>
      </c>
    </row>
    <row r="186" spans="1:5">
      <c r="A186" s="2" t="s">
        <v>8</v>
      </c>
      <c r="B186" s="2" t="s">
        <v>57</v>
      </c>
      <c r="C186" s="2" t="s">
        <v>20</v>
      </c>
      <c r="D186">
        <v>1007</v>
      </c>
      <c r="E186" s="2">
        <v>839</v>
      </c>
    </row>
    <row r="187" spans="1:5">
      <c r="A187" s="2" t="s">
        <v>8</v>
      </c>
      <c r="B187" s="2" t="s">
        <v>57</v>
      </c>
      <c r="C187" s="2" t="s">
        <v>12</v>
      </c>
      <c r="D187">
        <v>1181</v>
      </c>
      <c r="E187" s="2">
        <v>1106</v>
      </c>
    </row>
    <row r="188" spans="1:5">
      <c r="A188" s="2" t="s">
        <v>8</v>
      </c>
      <c r="B188" s="2" t="s">
        <v>57</v>
      </c>
      <c r="C188" s="2" t="s">
        <v>13</v>
      </c>
      <c r="D188">
        <v>1691</v>
      </c>
      <c r="E188" s="2">
        <v>1509</v>
      </c>
    </row>
    <row r="189" spans="1:5">
      <c r="A189" s="2" t="s">
        <v>8</v>
      </c>
      <c r="B189" s="2" t="s">
        <v>57</v>
      </c>
      <c r="C189" s="2" t="s">
        <v>16</v>
      </c>
      <c r="D189">
        <v>4513</v>
      </c>
      <c r="E189" s="2">
        <v>3800</v>
      </c>
    </row>
    <row r="190" spans="1:5">
      <c r="A190" s="2" t="s">
        <v>8</v>
      </c>
      <c r="B190" s="2" t="s">
        <v>57</v>
      </c>
      <c r="C190" s="2" t="s">
        <v>19</v>
      </c>
      <c r="D190">
        <v>3059</v>
      </c>
      <c r="E190" s="2">
        <v>2456</v>
      </c>
    </row>
    <row r="191" spans="1:5">
      <c r="A191" s="2" t="s">
        <v>8</v>
      </c>
      <c r="B191" s="2" t="s">
        <v>57</v>
      </c>
      <c r="C191" s="2" t="s">
        <v>22</v>
      </c>
      <c r="D191">
        <v>93</v>
      </c>
      <c r="E191" s="2">
        <v>72</v>
      </c>
    </row>
    <row r="192" spans="1:5">
      <c r="A192" s="2" t="s">
        <v>8</v>
      </c>
      <c r="B192" s="2" t="s">
        <v>57</v>
      </c>
      <c r="C192" s="2" t="s">
        <v>15</v>
      </c>
      <c r="D192">
        <v>3414</v>
      </c>
      <c r="E192" s="2">
        <v>2958</v>
      </c>
    </row>
    <row r="193" spans="1:5">
      <c r="A193" s="2" t="s">
        <v>8</v>
      </c>
      <c r="B193" s="2" t="s">
        <v>57</v>
      </c>
      <c r="C193" s="2" t="s">
        <v>21</v>
      </c>
      <c r="D193">
        <v>366</v>
      </c>
      <c r="E193" s="2">
        <v>294</v>
      </c>
    </row>
    <row r="194" spans="1:5">
      <c r="A194" s="2" t="s">
        <v>8</v>
      </c>
      <c r="B194" s="2" t="s">
        <v>57</v>
      </c>
      <c r="C194" s="2" t="s">
        <v>18</v>
      </c>
      <c r="D194">
        <v>4977</v>
      </c>
      <c r="E194" s="2">
        <v>4116</v>
      </c>
    </row>
    <row r="195" spans="1:5">
      <c r="A195" s="2" t="s">
        <v>8</v>
      </c>
      <c r="B195" s="2" t="s">
        <v>58</v>
      </c>
      <c r="C195" s="2" t="s">
        <v>23</v>
      </c>
      <c r="D195">
        <v>46</v>
      </c>
      <c r="E195" s="2">
        <v>39</v>
      </c>
    </row>
    <row r="196" spans="1:5">
      <c r="A196" s="2" t="s">
        <v>8</v>
      </c>
      <c r="B196" s="2" t="s">
        <v>58</v>
      </c>
      <c r="C196" s="2" t="s">
        <v>14</v>
      </c>
      <c r="D196">
        <v>2522</v>
      </c>
      <c r="E196" s="2">
        <v>2158</v>
      </c>
    </row>
    <row r="197" spans="1:5">
      <c r="A197" s="2" t="s">
        <v>8</v>
      </c>
      <c r="B197" s="2" t="s">
        <v>58</v>
      </c>
      <c r="C197" s="2" t="s">
        <v>20</v>
      </c>
      <c r="D197">
        <v>1796</v>
      </c>
      <c r="E197" s="2">
        <v>1447</v>
      </c>
    </row>
    <row r="198" spans="1:5">
      <c r="A198" s="2" t="s">
        <v>8</v>
      </c>
      <c r="B198" s="2" t="s">
        <v>58</v>
      </c>
      <c r="C198" s="2" t="s">
        <v>12</v>
      </c>
      <c r="D198">
        <v>913</v>
      </c>
      <c r="E198" s="2">
        <v>822</v>
      </c>
    </row>
    <row r="199" spans="1:5">
      <c r="A199" s="2" t="s">
        <v>8</v>
      </c>
      <c r="B199" s="2" t="s">
        <v>58</v>
      </c>
      <c r="C199" s="2" t="s">
        <v>13</v>
      </c>
      <c r="D199">
        <v>1422</v>
      </c>
      <c r="E199" s="2">
        <v>1243</v>
      </c>
    </row>
    <row r="200" spans="1:5">
      <c r="A200" s="2" t="s">
        <v>8</v>
      </c>
      <c r="B200" s="2" t="s">
        <v>58</v>
      </c>
      <c r="C200" s="2" t="s">
        <v>16</v>
      </c>
      <c r="D200">
        <v>5051</v>
      </c>
      <c r="E200" s="2">
        <v>4061</v>
      </c>
    </row>
    <row r="201" spans="1:5">
      <c r="A201" s="2" t="s">
        <v>8</v>
      </c>
      <c r="B201" s="2" t="s">
        <v>58</v>
      </c>
      <c r="C201" s="2" t="s">
        <v>19</v>
      </c>
      <c r="D201">
        <v>4115</v>
      </c>
      <c r="E201" s="2">
        <v>3125</v>
      </c>
    </row>
    <row r="202" spans="1:5">
      <c r="A202" s="2" t="s">
        <v>8</v>
      </c>
      <c r="B202" s="2" t="s">
        <v>58</v>
      </c>
      <c r="C202" s="2" t="s">
        <v>22</v>
      </c>
      <c r="D202">
        <v>143</v>
      </c>
      <c r="E202" s="2">
        <v>109</v>
      </c>
    </row>
    <row r="203" spans="1:5">
      <c r="A203" s="2" t="s">
        <v>8</v>
      </c>
      <c r="B203" s="2" t="s">
        <v>58</v>
      </c>
      <c r="C203" s="2" t="s">
        <v>15</v>
      </c>
      <c r="D203">
        <v>3418</v>
      </c>
      <c r="E203" s="2">
        <v>2823</v>
      </c>
    </row>
    <row r="204" spans="1:5">
      <c r="A204" s="2" t="s">
        <v>8</v>
      </c>
      <c r="B204" s="2" t="s">
        <v>58</v>
      </c>
      <c r="C204" s="2" t="s">
        <v>21</v>
      </c>
      <c r="D204">
        <v>688</v>
      </c>
      <c r="E204" s="2">
        <v>545</v>
      </c>
    </row>
    <row r="205" spans="1:5">
      <c r="A205" s="2" t="s">
        <v>8</v>
      </c>
      <c r="B205" s="2" t="s">
        <v>58</v>
      </c>
      <c r="C205" s="2" t="s">
        <v>18</v>
      </c>
      <c r="D205">
        <v>6452</v>
      </c>
      <c r="E205" s="2">
        <v>5018</v>
      </c>
    </row>
    <row r="206" spans="1:5">
      <c r="A206" s="2" t="s">
        <v>8</v>
      </c>
      <c r="B206" s="2" t="s">
        <v>58</v>
      </c>
      <c r="C206" s="2" t="s">
        <v>17</v>
      </c>
      <c r="D206">
        <v>7190</v>
      </c>
      <c r="E206" s="2">
        <v>5707</v>
      </c>
    </row>
    <row r="207" spans="1:5">
      <c r="A207" s="2" t="s">
        <v>9</v>
      </c>
      <c r="B207" s="2" t="s">
        <v>56</v>
      </c>
      <c r="C207" s="2" t="s">
        <v>17</v>
      </c>
      <c r="D207">
        <v>894</v>
      </c>
      <c r="E207" s="2">
        <v>779</v>
      </c>
    </row>
    <row r="208" spans="1:5">
      <c r="A208" s="2" t="s">
        <v>9</v>
      </c>
      <c r="B208" s="2" t="s">
        <v>56</v>
      </c>
      <c r="C208" s="2" t="s">
        <v>23</v>
      </c>
      <c r="D208">
        <v>1</v>
      </c>
      <c r="E208" s="2">
        <v>1</v>
      </c>
    </row>
    <row r="209" spans="1:5">
      <c r="A209" s="2" t="s">
        <v>9</v>
      </c>
      <c r="B209" s="2" t="s">
        <v>56</v>
      </c>
      <c r="C209" s="2" t="s">
        <v>14</v>
      </c>
      <c r="D209">
        <v>257</v>
      </c>
      <c r="E209" s="2">
        <v>230</v>
      </c>
    </row>
    <row r="210" spans="1:5">
      <c r="A210" s="2" t="s">
        <v>9</v>
      </c>
      <c r="B210" s="2" t="s">
        <v>56</v>
      </c>
      <c r="C210" s="2" t="s">
        <v>20</v>
      </c>
      <c r="D210">
        <v>10</v>
      </c>
      <c r="E210" s="2">
        <v>7</v>
      </c>
    </row>
    <row r="211" spans="1:5">
      <c r="A211" s="2" t="s">
        <v>9</v>
      </c>
      <c r="B211" s="2" t="s">
        <v>56</v>
      </c>
      <c r="C211" s="2" t="s">
        <v>12</v>
      </c>
      <c r="D211">
        <v>49</v>
      </c>
      <c r="E211" s="2">
        <v>48</v>
      </c>
    </row>
    <row r="212" spans="1:5">
      <c r="A212" s="2" t="s">
        <v>9</v>
      </c>
      <c r="B212" s="2" t="s">
        <v>56</v>
      </c>
      <c r="C212" s="2" t="s">
        <v>13</v>
      </c>
      <c r="D212">
        <v>66</v>
      </c>
      <c r="E212" s="2">
        <v>58</v>
      </c>
    </row>
    <row r="213" spans="1:5">
      <c r="A213" s="2" t="s">
        <v>9</v>
      </c>
      <c r="B213" s="2" t="s">
        <v>56</v>
      </c>
      <c r="C213" s="2" t="s">
        <v>16</v>
      </c>
      <c r="D213">
        <v>701</v>
      </c>
      <c r="E213" s="2">
        <v>619</v>
      </c>
    </row>
    <row r="214" spans="1:5">
      <c r="A214" s="2" t="s">
        <v>9</v>
      </c>
      <c r="B214" s="2" t="s">
        <v>56</v>
      </c>
      <c r="C214" s="2" t="s">
        <v>19</v>
      </c>
      <c r="D214">
        <v>41</v>
      </c>
      <c r="E214" s="2">
        <v>37</v>
      </c>
    </row>
    <row r="215" spans="1:5">
      <c r="A215" s="2" t="s">
        <v>9</v>
      </c>
      <c r="B215" s="2" t="s">
        <v>56</v>
      </c>
      <c r="C215" s="2" t="s">
        <v>22</v>
      </c>
      <c r="D215">
        <v>1</v>
      </c>
      <c r="E215" s="2">
        <v>1</v>
      </c>
    </row>
    <row r="216" spans="1:5">
      <c r="A216" s="2" t="s">
        <v>9</v>
      </c>
      <c r="B216" s="2" t="s">
        <v>56</v>
      </c>
      <c r="C216" s="2" t="s">
        <v>15</v>
      </c>
      <c r="D216">
        <v>556</v>
      </c>
      <c r="E216" s="2">
        <v>499</v>
      </c>
    </row>
    <row r="217" spans="1:5">
      <c r="A217" s="2" t="s">
        <v>9</v>
      </c>
      <c r="B217" s="2" t="s">
        <v>56</v>
      </c>
      <c r="C217" s="2" t="s">
        <v>21</v>
      </c>
      <c r="D217">
        <v>1</v>
      </c>
      <c r="E217" s="2">
        <v>1</v>
      </c>
    </row>
    <row r="218" spans="1:5">
      <c r="A218" s="2" t="s">
        <v>9</v>
      </c>
      <c r="B218" s="2" t="s">
        <v>56</v>
      </c>
      <c r="C218" s="2" t="s">
        <v>18</v>
      </c>
      <c r="D218">
        <v>495</v>
      </c>
      <c r="E218" s="2">
        <v>430</v>
      </c>
    </row>
    <row r="219" spans="1:5">
      <c r="A219" s="2" t="s">
        <v>9</v>
      </c>
      <c r="B219" s="2" t="s">
        <v>57</v>
      </c>
      <c r="C219" s="2" t="s">
        <v>17</v>
      </c>
      <c r="D219">
        <v>869</v>
      </c>
      <c r="E219" s="2">
        <v>744</v>
      </c>
    </row>
    <row r="220" spans="1:5">
      <c r="A220" s="2" t="s">
        <v>9</v>
      </c>
      <c r="B220" s="2" t="s">
        <v>57</v>
      </c>
      <c r="C220" s="2" t="s">
        <v>14</v>
      </c>
      <c r="D220">
        <v>235</v>
      </c>
      <c r="E220" s="2">
        <v>209</v>
      </c>
    </row>
    <row r="221" spans="1:5">
      <c r="A221" s="2" t="s">
        <v>9</v>
      </c>
      <c r="B221" s="2" t="s">
        <v>57</v>
      </c>
      <c r="C221" s="2" t="s">
        <v>20</v>
      </c>
      <c r="D221">
        <v>34</v>
      </c>
      <c r="E221" s="2">
        <v>28</v>
      </c>
    </row>
    <row r="222" spans="1:5">
      <c r="A222" s="2" t="s">
        <v>9</v>
      </c>
      <c r="B222" s="2" t="s">
        <v>57</v>
      </c>
      <c r="C222" s="2" t="s">
        <v>12</v>
      </c>
      <c r="D222">
        <v>38</v>
      </c>
      <c r="E222" s="2">
        <v>31</v>
      </c>
    </row>
    <row r="223" spans="1:5">
      <c r="A223" s="2" t="s">
        <v>9</v>
      </c>
      <c r="B223" s="2" t="s">
        <v>57</v>
      </c>
      <c r="C223" s="2" t="s">
        <v>13</v>
      </c>
      <c r="D223">
        <v>93</v>
      </c>
      <c r="E223" s="2">
        <v>85</v>
      </c>
    </row>
    <row r="224" spans="1:5">
      <c r="A224" s="2" t="s">
        <v>9</v>
      </c>
      <c r="B224" s="2" t="s">
        <v>57</v>
      </c>
      <c r="C224" s="2" t="s">
        <v>16</v>
      </c>
      <c r="D224">
        <v>705</v>
      </c>
      <c r="E224" s="2">
        <v>583</v>
      </c>
    </row>
    <row r="225" spans="1:5">
      <c r="A225" s="2" t="s">
        <v>9</v>
      </c>
      <c r="B225" s="2" t="s">
        <v>57</v>
      </c>
      <c r="C225" s="2" t="s">
        <v>19</v>
      </c>
      <c r="D225">
        <v>112</v>
      </c>
      <c r="E225" s="2">
        <v>87</v>
      </c>
    </row>
    <row r="226" spans="1:5">
      <c r="A226" s="2" t="s">
        <v>9</v>
      </c>
      <c r="B226" s="2" t="s">
        <v>57</v>
      </c>
      <c r="C226" s="2" t="s">
        <v>22</v>
      </c>
      <c r="D226">
        <v>3</v>
      </c>
      <c r="E226" s="2">
        <v>3</v>
      </c>
    </row>
    <row r="227" spans="1:5">
      <c r="A227" s="2" t="s">
        <v>9</v>
      </c>
      <c r="B227" s="2" t="s">
        <v>57</v>
      </c>
      <c r="C227" s="2" t="s">
        <v>15</v>
      </c>
      <c r="D227">
        <v>597</v>
      </c>
      <c r="E227" s="2">
        <v>529</v>
      </c>
    </row>
    <row r="228" spans="1:5">
      <c r="A228" s="2" t="s">
        <v>9</v>
      </c>
      <c r="B228" s="2" t="s">
        <v>57</v>
      </c>
      <c r="C228" s="2" t="s">
        <v>21</v>
      </c>
      <c r="D228">
        <v>7</v>
      </c>
      <c r="E228" s="2">
        <v>4</v>
      </c>
    </row>
    <row r="229" spans="1:5">
      <c r="A229" s="2" t="s">
        <v>9</v>
      </c>
      <c r="B229" s="2" t="s">
        <v>57</v>
      </c>
      <c r="C229" s="2" t="s">
        <v>18</v>
      </c>
      <c r="D229">
        <v>523</v>
      </c>
      <c r="E229" s="2">
        <v>442</v>
      </c>
    </row>
    <row r="230" spans="1:5">
      <c r="A230" s="2" t="s">
        <v>9</v>
      </c>
      <c r="B230" s="2" t="s">
        <v>58</v>
      </c>
      <c r="C230" s="2" t="s">
        <v>23</v>
      </c>
      <c r="D230">
        <v>2</v>
      </c>
      <c r="E230" s="2">
        <v>0</v>
      </c>
    </row>
    <row r="231" spans="1:5">
      <c r="A231" s="2" t="s">
        <v>9</v>
      </c>
      <c r="B231" s="2" t="s">
        <v>58</v>
      </c>
      <c r="C231" s="2" t="s">
        <v>14</v>
      </c>
      <c r="D231">
        <v>301</v>
      </c>
      <c r="E231" s="2">
        <v>253</v>
      </c>
    </row>
    <row r="232" spans="1:5">
      <c r="A232" s="2" t="s">
        <v>9</v>
      </c>
      <c r="B232" s="2" t="s">
        <v>58</v>
      </c>
      <c r="C232" s="2" t="s">
        <v>20</v>
      </c>
      <c r="D232">
        <v>104</v>
      </c>
      <c r="E232" s="2">
        <v>88</v>
      </c>
    </row>
    <row r="233" spans="1:5">
      <c r="A233" s="2" t="s">
        <v>9</v>
      </c>
      <c r="B233" s="2" t="s">
        <v>58</v>
      </c>
      <c r="C233" s="2" t="s">
        <v>12</v>
      </c>
      <c r="D233">
        <v>162</v>
      </c>
      <c r="E233" s="2">
        <v>142</v>
      </c>
    </row>
    <row r="234" spans="1:5">
      <c r="A234" s="2" t="s">
        <v>9</v>
      </c>
      <c r="B234" s="2" t="s">
        <v>58</v>
      </c>
      <c r="C234" s="2" t="s">
        <v>13</v>
      </c>
      <c r="D234">
        <v>145</v>
      </c>
      <c r="E234" s="2">
        <v>128</v>
      </c>
    </row>
    <row r="235" spans="1:5">
      <c r="A235" s="2" t="s">
        <v>9</v>
      </c>
      <c r="B235" s="2" t="s">
        <v>58</v>
      </c>
      <c r="C235" s="2" t="s">
        <v>16</v>
      </c>
      <c r="D235">
        <v>708</v>
      </c>
      <c r="E235" s="2">
        <v>536</v>
      </c>
    </row>
    <row r="236" spans="1:5">
      <c r="A236" s="2" t="s">
        <v>9</v>
      </c>
      <c r="B236" s="2" t="s">
        <v>58</v>
      </c>
      <c r="C236" s="2" t="s">
        <v>19</v>
      </c>
      <c r="D236">
        <v>263</v>
      </c>
      <c r="E236" s="2">
        <v>188</v>
      </c>
    </row>
    <row r="237" spans="1:5">
      <c r="A237" s="2" t="s">
        <v>9</v>
      </c>
      <c r="B237" s="2" t="s">
        <v>58</v>
      </c>
      <c r="C237" s="2" t="s">
        <v>22</v>
      </c>
      <c r="D237">
        <v>12</v>
      </c>
      <c r="E237" s="2">
        <v>10</v>
      </c>
    </row>
    <row r="238" spans="1:5">
      <c r="A238" s="2" t="s">
        <v>9</v>
      </c>
      <c r="B238" s="2" t="s">
        <v>58</v>
      </c>
      <c r="C238" s="2" t="s">
        <v>15</v>
      </c>
      <c r="D238">
        <v>476</v>
      </c>
      <c r="E238" s="2">
        <v>373</v>
      </c>
    </row>
    <row r="239" spans="1:5">
      <c r="A239" s="2" t="s">
        <v>9</v>
      </c>
      <c r="B239" s="2" t="s">
        <v>58</v>
      </c>
      <c r="C239" s="2" t="s">
        <v>21</v>
      </c>
      <c r="D239">
        <v>35</v>
      </c>
      <c r="E239" s="2">
        <v>29</v>
      </c>
    </row>
    <row r="240" spans="1:5">
      <c r="A240" s="2" t="s">
        <v>9</v>
      </c>
      <c r="B240" s="2" t="s">
        <v>58</v>
      </c>
      <c r="C240" s="2" t="s">
        <v>18</v>
      </c>
      <c r="D240">
        <v>732</v>
      </c>
      <c r="E240" s="2">
        <v>570</v>
      </c>
    </row>
    <row r="241" spans="1:5">
      <c r="A241" s="2" t="s">
        <v>9</v>
      </c>
      <c r="B241" s="2" t="s">
        <v>58</v>
      </c>
      <c r="C241" s="2" t="s">
        <v>17</v>
      </c>
      <c r="D241">
        <v>974</v>
      </c>
      <c r="E241" s="2">
        <v>767</v>
      </c>
    </row>
    <row r="242" spans="1:5">
      <c r="A242" s="2" t="s">
        <v>10</v>
      </c>
      <c r="B242" s="2" t="s">
        <v>56</v>
      </c>
      <c r="C242" s="2" t="s">
        <v>22</v>
      </c>
      <c r="D242">
        <v>61</v>
      </c>
      <c r="E242" s="2">
        <v>51</v>
      </c>
    </row>
    <row r="243" spans="1:5">
      <c r="A243" s="2" t="s">
        <v>10</v>
      </c>
      <c r="B243" s="2" t="s">
        <v>56</v>
      </c>
      <c r="C243" s="2" t="s">
        <v>15</v>
      </c>
      <c r="D243">
        <v>3655</v>
      </c>
      <c r="E243" s="2">
        <v>2354</v>
      </c>
    </row>
    <row r="244" spans="1:5">
      <c r="A244" s="2" t="s">
        <v>10</v>
      </c>
      <c r="B244" s="2" t="s">
        <v>56</v>
      </c>
      <c r="C244" s="2" t="s">
        <v>21</v>
      </c>
      <c r="D244">
        <v>250</v>
      </c>
      <c r="E244" s="2">
        <v>202</v>
      </c>
    </row>
    <row r="245" spans="1:5">
      <c r="A245" s="2" t="s">
        <v>10</v>
      </c>
      <c r="B245" s="2" t="s">
        <v>56</v>
      </c>
      <c r="C245" s="2" t="s">
        <v>18</v>
      </c>
      <c r="D245">
        <v>5773</v>
      </c>
      <c r="E245" s="2">
        <v>4338</v>
      </c>
    </row>
    <row r="246" spans="1:5">
      <c r="A246" s="2" t="s">
        <v>10</v>
      </c>
      <c r="B246" s="2" t="s">
        <v>56</v>
      </c>
      <c r="C246" s="2" t="s">
        <v>17</v>
      </c>
      <c r="D246">
        <v>6832</v>
      </c>
      <c r="E246" s="2">
        <v>4925</v>
      </c>
    </row>
    <row r="247" spans="1:5">
      <c r="A247" s="2" t="s">
        <v>10</v>
      </c>
      <c r="B247" s="2" t="s">
        <v>56</v>
      </c>
      <c r="C247" s="2" t="s">
        <v>23</v>
      </c>
      <c r="D247">
        <v>5</v>
      </c>
      <c r="E247" s="2">
        <v>5</v>
      </c>
    </row>
    <row r="248" spans="1:5">
      <c r="A248" s="2" t="s">
        <v>10</v>
      </c>
      <c r="B248" s="2" t="s">
        <v>56</v>
      </c>
      <c r="C248" s="2" t="s">
        <v>14</v>
      </c>
      <c r="D248">
        <v>2531</v>
      </c>
      <c r="E248" s="2">
        <v>1623</v>
      </c>
    </row>
    <row r="249" spans="1:5">
      <c r="A249" s="2" t="s">
        <v>10</v>
      </c>
      <c r="B249" s="2" t="s">
        <v>56</v>
      </c>
      <c r="C249" s="2" t="s">
        <v>20</v>
      </c>
      <c r="D249">
        <v>778</v>
      </c>
      <c r="E249" s="2">
        <v>614</v>
      </c>
    </row>
    <row r="250" spans="1:5">
      <c r="A250" s="2" t="s">
        <v>10</v>
      </c>
      <c r="B250" s="2" t="s">
        <v>56</v>
      </c>
      <c r="C250" s="2" t="s">
        <v>12</v>
      </c>
      <c r="D250">
        <v>715</v>
      </c>
      <c r="E250" s="2">
        <v>557</v>
      </c>
    </row>
    <row r="251" spans="1:5">
      <c r="A251" s="2" t="s">
        <v>10</v>
      </c>
      <c r="B251" s="2" t="s">
        <v>56</v>
      </c>
      <c r="C251" s="2" t="s">
        <v>13</v>
      </c>
      <c r="D251">
        <v>1210</v>
      </c>
      <c r="E251" s="2">
        <v>828</v>
      </c>
    </row>
    <row r="252" spans="1:5">
      <c r="A252" s="2" t="s">
        <v>10</v>
      </c>
      <c r="B252" s="2" t="s">
        <v>56</v>
      </c>
      <c r="C252" s="2" t="s">
        <v>16</v>
      </c>
      <c r="D252">
        <v>5473</v>
      </c>
      <c r="E252" s="2">
        <v>3709</v>
      </c>
    </row>
    <row r="253" spans="1:5">
      <c r="A253" s="2" t="s">
        <v>10</v>
      </c>
      <c r="B253" s="2" t="s">
        <v>56</v>
      </c>
      <c r="C253" s="2" t="s">
        <v>19</v>
      </c>
      <c r="D253">
        <v>2942</v>
      </c>
      <c r="E253" s="2">
        <v>2208</v>
      </c>
    </row>
    <row r="254" spans="1:5">
      <c r="A254" s="2" t="s">
        <v>10</v>
      </c>
      <c r="B254" s="2" t="s">
        <v>57</v>
      </c>
      <c r="C254" s="2" t="s">
        <v>15</v>
      </c>
      <c r="D254">
        <v>6209</v>
      </c>
      <c r="E254" s="2">
        <v>4582</v>
      </c>
    </row>
    <row r="255" spans="1:5">
      <c r="A255" s="2" t="s">
        <v>10</v>
      </c>
      <c r="B255" s="2" t="s">
        <v>57</v>
      </c>
      <c r="C255" s="2" t="s">
        <v>21</v>
      </c>
      <c r="D255">
        <v>454</v>
      </c>
      <c r="E255" s="2">
        <v>347</v>
      </c>
    </row>
    <row r="256" spans="1:5">
      <c r="A256" s="2" t="s">
        <v>10</v>
      </c>
      <c r="B256" s="2" t="s">
        <v>57</v>
      </c>
      <c r="C256" s="2" t="s">
        <v>18</v>
      </c>
      <c r="D256">
        <v>9949</v>
      </c>
      <c r="E256" s="2">
        <v>7646</v>
      </c>
    </row>
    <row r="257" spans="1:5">
      <c r="A257" s="2" t="s">
        <v>10</v>
      </c>
      <c r="B257" s="2" t="s">
        <v>57</v>
      </c>
      <c r="C257" s="2" t="s">
        <v>25</v>
      </c>
      <c r="D257">
        <v>1</v>
      </c>
      <c r="E257" s="2">
        <v>1</v>
      </c>
    </row>
    <row r="258" spans="1:5">
      <c r="A258" s="2" t="s">
        <v>10</v>
      </c>
      <c r="B258" s="2" t="s">
        <v>57</v>
      </c>
      <c r="C258" s="2" t="s">
        <v>17</v>
      </c>
      <c r="D258">
        <v>11994</v>
      </c>
      <c r="E258" s="2">
        <v>9128</v>
      </c>
    </row>
    <row r="259" spans="1:5">
      <c r="A259" s="2" t="s">
        <v>10</v>
      </c>
      <c r="B259" s="2" t="s">
        <v>57</v>
      </c>
      <c r="C259" s="2" t="s">
        <v>23</v>
      </c>
      <c r="D259">
        <v>18</v>
      </c>
      <c r="E259" s="2">
        <v>15</v>
      </c>
    </row>
    <row r="260" spans="1:5">
      <c r="A260" s="2" t="s">
        <v>10</v>
      </c>
      <c r="B260" s="2" t="s">
        <v>57</v>
      </c>
      <c r="C260" s="2" t="s">
        <v>14</v>
      </c>
      <c r="D260">
        <v>4367</v>
      </c>
      <c r="E260" s="2">
        <v>3193</v>
      </c>
    </row>
    <row r="261" spans="1:5">
      <c r="A261" s="2" t="s">
        <v>10</v>
      </c>
      <c r="B261" s="2" t="s">
        <v>57</v>
      </c>
      <c r="C261" s="2" t="s">
        <v>20</v>
      </c>
      <c r="D261">
        <v>1358</v>
      </c>
      <c r="E261" s="2">
        <v>1096</v>
      </c>
    </row>
    <row r="262" spans="1:5">
      <c r="A262" s="2" t="s">
        <v>10</v>
      </c>
      <c r="B262" s="2" t="s">
        <v>57</v>
      </c>
      <c r="C262" s="2" t="s">
        <v>12</v>
      </c>
      <c r="D262">
        <v>1189</v>
      </c>
      <c r="E262" s="2">
        <v>957</v>
      </c>
    </row>
    <row r="263" spans="1:5">
      <c r="A263" s="2" t="s">
        <v>10</v>
      </c>
      <c r="B263" s="2" t="s">
        <v>57</v>
      </c>
      <c r="C263" s="2" t="s">
        <v>13</v>
      </c>
      <c r="D263">
        <v>1886</v>
      </c>
      <c r="E263" s="2">
        <v>1423</v>
      </c>
    </row>
    <row r="264" spans="1:5">
      <c r="A264" s="2" t="s">
        <v>10</v>
      </c>
      <c r="B264" s="2" t="s">
        <v>57</v>
      </c>
      <c r="C264" s="2" t="s">
        <v>16</v>
      </c>
      <c r="D264">
        <v>9489</v>
      </c>
      <c r="E264" s="2">
        <v>6945</v>
      </c>
    </row>
    <row r="265" spans="1:5">
      <c r="A265" s="2" t="s">
        <v>10</v>
      </c>
      <c r="B265" s="2" t="s">
        <v>57</v>
      </c>
      <c r="C265" s="2" t="s">
        <v>19</v>
      </c>
      <c r="D265">
        <v>5116</v>
      </c>
      <c r="E265" s="2">
        <v>3874</v>
      </c>
    </row>
    <row r="266" spans="1:5">
      <c r="A266" s="2" t="s">
        <v>10</v>
      </c>
      <c r="B266" s="2" t="s">
        <v>57</v>
      </c>
      <c r="C266" s="2" t="s">
        <v>22</v>
      </c>
      <c r="D266">
        <v>111</v>
      </c>
      <c r="E266" s="2">
        <v>77</v>
      </c>
    </row>
    <row r="267" spans="1:5">
      <c r="A267" s="2" t="s">
        <v>10</v>
      </c>
      <c r="B267" s="2" t="s">
        <v>58</v>
      </c>
      <c r="C267" s="2" t="s">
        <v>21</v>
      </c>
      <c r="D267">
        <v>584</v>
      </c>
      <c r="E267" s="2">
        <v>436</v>
      </c>
    </row>
    <row r="268" spans="1:5">
      <c r="A268" s="2" t="s">
        <v>10</v>
      </c>
      <c r="B268" s="2" t="s">
        <v>58</v>
      </c>
      <c r="C268" s="2" t="s">
        <v>18</v>
      </c>
      <c r="D268">
        <v>10679</v>
      </c>
      <c r="E268" s="2">
        <v>8356</v>
      </c>
    </row>
    <row r="269" spans="1:5">
      <c r="A269" s="2" t="s">
        <v>10</v>
      </c>
      <c r="B269" s="2" t="s">
        <v>58</v>
      </c>
      <c r="C269" s="2" t="s">
        <v>25</v>
      </c>
      <c r="D269">
        <v>1</v>
      </c>
      <c r="E269" s="2">
        <v>1</v>
      </c>
    </row>
    <row r="270" spans="1:5">
      <c r="A270" s="2" t="s">
        <v>10</v>
      </c>
      <c r="B270" s="2" t="s">
        <v>58</v>
      </c>
      <c r="C270" s="2" t="s">
        <v>17</v>
      </c>
      <c r="D270">
        <v>13162</v>
      </c>
      <c r="E270" s="2">
        <v>9986</v>
      </c>
    </row>
    <row r="271" spans="1:5">
      <c r="A271" s="2" t="s">
        <v>10</v>
      </c>
      <c r="B271" s="2" t="s">
        <v>58</v>
      </c>
      <c r="C271" s="2" t="s">
        <v>23</v>
      </c>
      <c r="D271">
        <v>30</v>
      </c>
      <c r="E271" s="2">
        <v>20</v>
      </c>
    </row>
    <row r="272" spans="1:5">
      <c r="A272" s="2" t="s">
        <v>10</v>
      </c>
      <c r="B272" s="2" t="s">
        <v>58</v>
      </c>
      <c r="C272" s="2" t="s">
        <v>14</v>
      </c>
      <c r="D272">
        <v>3730</v>
      </c>
      <c r="E272" s="2">
        <v>2647</v>
      </c>
    </row>
    <row r="273" spans="1:5">
      <c r="A273" s="2" t="s">
        <v>10</v>
      </c>
      <c r="B273" s="2" t="s">
        <v>58</v>
      </c>
      <c r="C273" s="2" t="s">
        <v>20</v>
      </c>
      <c r="D273">
        <v>1576</v>
      </c>
      <c r="E273" s="2">
        <v>1282</v>
      </c>
    </row>
    <row r="274" spans="1:5">
      <c r="A274" s="2" t="s">
        <v>10</v>
      </c>
      <c r="B274" s="2" t="s">
        <v>58</v>
      </c>
      <c r="C274" s="2" t="s">
        <v>12</v>
      </c>
      <c r="D274">
        <v>1075</v>
      </c>
      <c r="E274" s="2">
        <v>863</v>
      </c>
    </row>
    <row r="275" spans="1:5">
      <c r="A275" s="2" t="s">
        <v>10</v>
      </c>
      <c r="B275" s="2" t="s">
        <v>58</v>
      </c>
      <c r="C275" s="2" t="s">
        <v>13</v>
      </c>
      <c r="D275">
        <v>1526</v>
      </c>
      <c r="E275" s="2">
        <v>1160</v>
      </c>
    </row>
    <row r="276" spans="1:5">
      <c r="A276" s="2" t="s">
        <v>10</v>
      </c>
      <c r="B276" s="2" t="s">
        <v>58</v>
      </c>
      <c r="C276" s="2" t="s">
        <v>16</v>
      </c>
      <c r="D276">
        <v>9698</v>
      </c>
      <c r="E276" s="2">
        <v>7209</v>
      </c>
    </row>
    <row r="277" spans="1:5">
      <c r="A277" s="2" t="s">
        <v>10</v>
      </c>
      <c r="B277" s="2" t="s">
        <v>58</v>
      </c>
      <c r="C277" s="2" t="s">
        <v>19</v>
      </c>
      <c r="D277">
        <v>5396</v>
      </c>
      <c r="E277" s="2">
        <v>4123</v>
      </c>
    </row>
    <row r="278" spans="1:5">
      <c r="A278" s="2" t="s">
        <v>10</v>
      </c>
      <c r="B278" s="2" t="s">
        <v>58</v>
      </c>
      <c r="C278" s="2" t="s">
        <v>22</v>
      </c>
      <c r="D278">
        <v>124</v>
      </c>
      <c r="E278" s="2">
        <v>98</v>
      </c>
    </row>
    <row r="279" spans="1:5">
      <c r="A279" s="2" t="s">
        <v>10</v>
      </c>
      <c r="B279" s="2" t="s">
        <v>58</v>
      </c>
      <c r="C279" s="2" t="s">
        <v>15</v>
      </c>
      <c r="D279">
        <v>5848</v>
      </c>
      <c r="E279" s="2">
        <v>4280</v>
      </c>
    </row>
  </sheetData>
  <sortState ref="A2:E279">
    <sortCondition ref="A2:A279"/>
    <sortCondition ref="B2:B279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workbookViewId="0">
      <selection activeCell="F8" sqref="F8:I18"/>
    </sheetView>
  </sheetViews>
  <sheetFormatPr defaultColWidth="9" defaultRowHeight="14"/>
  <cols>
    <col min="2" max="2" width="12.6545454545455" customWidth="1"/>
    <col min="3" max="3" width="11.6909090909091" customWidth="1"/>
    <col min="6" max="6" width="15.6909090909091"/>
    <col min="7" max="8" width="14.5363636363636"/>
    <col min="9" max="10" width="8.92727272727273"/>
  </cols>
  <sheetData>
    <row r="1" spans="1:4">
      <c r="A1" t="s">
        <v>53</v>
      </c>
      <c r="B1" t="s">
        <v>29</v>
      </c>
      <c r="C1" t="s">
        <v>41</v>
      </c>
      <c r="D1" t="s">
        <v>38</v>
      </c>
    </row>
    <row r="2" spans="1:4">
      <c r="A2" t="s">
        <v>57</v>
      </c>
      <c r="B2" t="s">
        <v>9</v>
      </c>
      <c r="C2" t="s">
        <v>45</v>
      </c>
      <c r="D2">
        <v>969</v>
      </c>
    </row>
    <row r="3" spans="1:4">
      <c r="A3" t="s">
        <v>57</v>
      </c>
      <c r="B3" t="s">
        <v>8</v>
      </c>
      <c r="C3" t="s">
        <v>45</v>
      </c>
      <c r="D3">
        <v>8723</v>
      </c>
    </row>
    <row r="4" spans="1:4">
      <c r="A4" t="s">
        <v>56</v>
      </c>
      <c r="B4" t="s">
        <v>9</v>
      </c>
      <c r="C4" t="s">
        <v>45</v>
      </c>
      <c r="D4">
        <v>697</v>
      </c>
    </row>
    <row r="5" spans="1:4">
      <c r="A5" t="s">
        <v>58</v>
      </c>
      <c r="B5" t="s">
        <v>9</v>
      </c>
      <c r="C5" t="s">
        <v>44</v>
      </c>
      <c r="D5">
        <v>2805</v>
      </c>
    </row>
    <row r="6" spans="1:7">
      <c r="A6" t="s">
        <v>56</v>
      </c>
      <c r="B6" t="s">
        <v>8</v>
      </c>
      <c r="C6" t="s">
        <v>45</v>
      </c>
      <c r="D6">
        <v>105</v>
      </c>
      <c r="F6" t="s">
        <v>53</v>
      </c>
      <c r="G6" t="s">
        <v>65</v>
      </c>
    </row>
    <row r="7" spans="1:4">
      <c r="A7" t="s">
        <v>58</v>
      </c>
      <c r="B7" t="s">
        <v>5</v>
      </c>
      <c r="C7" t="s">
        <v>45</v>
      </c>
      <c r="D7">
        <v>3775</v>
      </c>
    </row>
    <row r="8" spans="1:7">
      <c r="A8" t="s">
        <v>58</v>
      </c>
      <c r="B8" t="s">
        <v>8</v>
      </c>
      <c r="C8" t="s">
        <v>44</v>
      </c>
      <c r="D8">
        <v>26378</v>
      </c>
      <c r="F8" t="s">
        <v>28</v>
      </c>
      <c r="G8" t="s">
        <v>41</v>
      </c>
    </row>
    <row r="9" spans="1:9">
      <c r="A9" t="s">
        <v>58</v>
      </c>
      <c r="B9" t="s">
        <v>4</v>
      </c>
      <c r="C9" t="s">
        <v>45</v>
      </c>
      <c r="D9">
        <v>1500</v>
      </c>
      <c r="F9" t="s">
        <v>29</v>
      </c>
      <c r="G9" t="s">
        <v>44</v>
      </c>
      <c r="H9" t="s">
        <v>45</v>
      </c>
      <c r="I9" t="s">
        <v>11</v>
      </c>
    </row>
    <row r="10" spans="1:9">
      <c r="A10" t="s">
        <v>58</v>
      </c>
      <c r="B10" t="s">
        <v>10</v>
      </c>
      <c r="C10" t="s">
        <v>45</v>
      </c>
      <c r="D10">
        <v>17435</v>
      </c>
      <c r="F10" t="s">
        <v>3</v>
      </c>
      <c r="G10" s="3">
        <v>0.727531727531728</v>
      </c>
      <c r="H10" s="3">
        <v>0.272468272468273</v>
      </c>
      <c r="I10" s="3">
        <v>1</v>
      </c>
    </row>
    <row r="11" spans="1:9">
      <c r="A11" t="s">
        <v>57</v>
      </c>
      <c r="B11" t="s">
        <v>9</v>
      </c>
      <c r="C11" t="s">
        <v>44</v>
      </c>
      <c r="D11">
        <v>2247</v>
      </c>
      <c r="F11" t="s">
        <v>4</v>
      </c>
      <c r="G11" s="3">
        <v>0.587795123209909</v>
      </c>
      <c r="H11" s="3">
        <v>0.412204876790092</v>
      </c>
      <c r="I11" s="3">
        <v>1</v>
      </c>
    </row>
    <row r="12" spans="1:9">
      <c r="A12" t="s">
        <v>58</v>
      </c>
      <c r="B12" t="s">
        <v>6</v>
      </c>
      <c r="C12" t="s">
        <v>45</v>
      </c>
      <c r="D12">
        <v>3498</v>
      </c>
      <c r="F12" t="s">
        <v>5</v>
      </c>
      <c r="G12" s="3">
        <v>0.676533984767927</v>
      </c>
      <c r="H12" s="3">
        <v>0.323466015232074</v>
      </c>
      <c r="I12" s="3">
        <v>1</v>
      </c>
    </row>
    <row r="13" spans="1:9">
      <c r="A13" t="s">
        <v>57</v>
      </c>
      <c r="B13" t="s">
        <v>5</v>
      </c>
      <c r="C13" t="s">
        <v>45</v>
      </c>
      <c r="D13">
        <v>2973</v>
      </c>
      <c r="F13" t="s">
        <v>6</v>
      </c>
      <c r="G13" s="3">
        <v>0.712932786319543</v>
      </c>
      <c r="H13" s="3">
        <v>0.287067213680457</v>
      </c>
      <c r="I13" s="3">
        <v>1</v>
      </c>
    </row>
    <row r="14" spans="1:9">
      <c r="A14" t="s">
        <v>58</v>
      </c>
      <c r="B14" t="s">
        <v>3</v>
      </c>
      <c r="C14" t="s">
        <v>45</v>
      </c>
      <c r="D14">
        <v>1823</v>
      </c>
      <c r="F14" t="s">
        <v>7</v>
      </c>
      <c r="G14" s="3">
        <v>0.705034758795028</v>
      </c>
      <c r="H14" s="3">
        <v>0.294965241204972</v>
      </c>
      <c r="I14" s="3">
        <v>1</v>
      </c>
    </row>
    <row r="15" spans="1:9">
      <c r="A15" t="s">
        <v>57</v>
      </c>
      <c r="B15" t="s">
        <v>8</v>
      </c>
      <c r="C15" t="s">
        <v>44</v>
      </c>
      <c r="D15">
        <v>20638</v>
      </c>
      <c r="F15" t="s">
        <v>8</v>
      </c>
      <c r="G15" s="3">
        <v>0.744065949684939</v>
      </c>
      <c r="H15" s="3">
        <v>0.255934050315061</v>
      </c>
      <c r="I15" s="3">
        <v>1</v>
      </c>
    </row>
    <row r="16" spans="1:9">
      <c r="A16" t="s">
        <v>58</v>
      </c>
      <c r="B16" t="s">
        <v>7</v>
      </c>
      <c r="C16" t="s">
        <v>45</v>
      </c>
      <c r="D16">
        <v>6952</v>
      </c>
      <c r="F16" t="s">
        <v>9</v>
      </c>
      <c r="G16" s="3">
        <v>0.72799451088022</v>
      </c>
      <c r="H16" s="3">
        <v>0.27200548911978</v>
      </c>
      <c r="I16" s="3">
        <v>1</v>
      </c>
    </row>
    <row r="17" spans="1:9">
      <c r="A17" t="s">
        <v>57</v>
      </c>
      <c r="B17" t="s">
        <v>4</v>
      </c>
      <c r="C17" t="s">
        <v>45</v>
      </c>
      <c r="D17">
        <v>1017</v>
      </c>
      <c r="F17" t="s">
        <v>10</v>
      </c>
      <c r="G17" s="3">
        <v>0.638977871055635</v>
      </c>
      <c r="H17" s="3">
        <v>0.361022128944365</v>
      </c>
      <c r="I17" s="3">
        <v>1</v>
      </c>
    </row>
    <row r="18" spans="1:9">
      <c r="A18" t="s">
        <v>57</v>
      </c>
      <c r="B18" t="s">
        <v>10</v>
      </c>
      <c r="C18" t="s">
        <v>45</v>
      </c>
      <c r="D18">
        <v>19254</v>
      </c>
      <c r="F18" t="s">
        <v>11</v>
      </c>
      <c r="G18" s="3">
        <v>0.68243469109818</v>
      </c>
      <c r="H18" s="3">
        <v>0.31756530890182</v>
      </c>
      <c r="I18" s="3">
        <v>1</v>
      </c>
    </row>
    <row r="19" spans="1:4">
      <c r="A19" t="s">
        <v>56</v>
      </c>
      <c r="B19" t="s">
        <v>9</v>
      </c>
      <c r="C19" t="s">
        <v>44</v>
      </c>
      <c r="D19">
        <v>2375</v>
      </c>
    </row>
    <row r="20" spans="1:4">
      <c r="A20" t="s">
        <v>57</v>
      </c>
      <c r="B20" t="s">
        <v>6</v>
      </c>
      <c r="C20" t="s">
        <v>45</v>
      </c>
      <c r="D20">
        <v>3600</v>
      </c>
    </row>
    <row r="21" spans="1:4">
      <c r="A21" t="s">
        <v>56</v>
      </c>
      <c r="B21" t="s">
        <v>5</v>
      </c>
      <c r="C21" t="s">
        <v>45</v>
      </c>
      <c r="D21">
        <v>5</v>
      </c>
    </row>
    <row r="22" spans="1:4">
      <c r="A22" t="s">
        <v>57</v>
      </c>
      <c r="B22" t="s">
        <v>3</v>
      </c>
      <c r="C22" t="s">
        <v>45</v>
      </c>
      <c r="D22">
        <v>1143</v>
      </c>
    </row>
    <row r="23" spans="1:4">
      <c r="A23" t="s">
        <v>56</v>
      </c>
      <c r="B23" t="s">
        <v>8</v>
      </c>
      <c r="C23" t="s">
        <v>44</v>
      </c>
      <c r="D23">
        <v>99</v>
      </c>
    </row>
    <row r="24" spans="1:4">
      <c r="A24" t="s">
        <v>58</v>
      </c>
      <c r="B24" t="s">
        <v>5</v>
      </c>
      <c r="C24" t="s">
        <v>44</v>
      </c>
      <c r="D24">
        <v>8047</v>
      </c>
    </row>
    <row r="25" spans="1:4">
      <c r="A25" t="s">
        <v>57</v>
      </c>
      <c r="B25" t="s">
        <v>7</v>
      </c>
      <c r="C25" t="s">
        <v>45</v>
      </c>
      <c r="D25">
        <v>6662</v>
      </c>
    </row>
    <row r="26" spans="1:4">
      <c r="A26" t="s">
        <v>56</v>
      </c>
      <c r="B26" t="s">
        <v>4</v>
      </c>
      <c r="C26" t="s">
        <v>45</v>
      </c>
      <c r="D26">
        <v>678</v>
      </c>
    </row>
    <row r="27" spans="1:4">
      <c r="A27" t="s">
        <v>58</v>
      </c>
      <c r="B27" t="s">
        <v>4</v>
      </c>
      <c r="C27" t="s">
        <v>44</v>
      </c>
      <c r="D27">
        <v>2439</v>
      </c>
    </row>
    <row r="28" spans="1:4">
      <c r="A28" t="s">
        <v>56</v>
      </c>
      <c r="B28" t="s">
        <v>10</v>
      </c>
      <c r="C28" t="s">
        <v>45</v>
      </c>
      <c r="D28">
        <v>12336</v>
      </c>
    </row>
    <row r="29" spans="1:4">
      <c r="A29" t="s">
        <v>58</v>
      </c>
      <c r="B29" t="s">
        <v>10</v>
      </c>
      <c r="C29" t="s">
        <v>44</v>
      </c>
      <c r="D29">
        <v>35994</v>
      </c>
    </row>
    <row r="30" spans="1:4">
      <c r="A30" t="s">
        <v>56</v>
      </c>
      <c r="B30" t="s">
        <v>6</v>
      </c>
      <c r="C30" t="s">
        <v>45</v>
      </c>
      <c r="D30">
        <v>389</v>
      </c>
    </row>
    <row r="31" spans="1:4">
      <c r="A31" t="s">
        <v>56</v>
      </c>
      <c r="B31" t="s">
        <v>3</v>
      </c>
      <c r="C31" t="s">
        <v>45</v>
      </c>
      <c r="D31">
        <v>190</v>
      </c>
    </row>
    <row r="32" spans="1:4">
      <c r="A32" t="s">
        <v>58</v>
      </c>
      <c r="B32" t="s">
        <v>6</v>
      </c>
      <c r="C32" t="s">
        <v>44</v>
      </c>
      <c r="D32">
        <v>8594</v>
      </c>
    </row>
    <row r="33" spans="1:4">
      <c r="A33" t="s">
        <v>57</v>
      </c>
      <c r="B33" t="s">
        <v>5</v>
      </c>
      <c r="C33" t="s">
        <v>44</v>
      </c>
      <c r="D33">
        <v>6070</v>
      </c>
    </row>
    <row r="34" spans="1:4">
      <c r="A34" t="s">
        <v>58</v>
      </c>
      <c r="B34" t="s">
        <v>3</v>
      </c>
      <c r="C34" t="s">
        <v>44</v>
      </c>
      <c r="D34">
        <v>5260</v>
      </c>
    </row>
    <row r="35" spans="1:4">
      <c r="A35" t="s">
        <v>56</v>
      </c>
      <c r="B35" t="s">
        <v>7</v>
      </c>
      <c r="C35" t="s">
        <v>45</v>
      </c>
      <c r="D35">
        <v>388</v>
      </c>
    </row>
    <row r="36" spans="1:4">
      <c r="A36" t="s">
        <v>58</v>
      </c>
      <c r="B36" t="s">
        <v>7</v>
      </c>
      <c r="C36" t="s">
        <v>44</v>
      </c>
      <c r="D36">
        <v>17718</v>
      </c>
    </row>
    <row r="37" spans="1:4">
      <c r="A37" t="s">
        <v>57</v>
      </c>
      <c r="B37" t="s">
        <v>4</v>
      </c>
      <c r="C37" t="s">
        <v>44</v>
      </c>
      <c r="D37">
        <v>1364</v>
      </c>
    </row>
    <row r="38" spans="1:4">
      <c r="A38" t="s">
        <v>57</v>
      </c>
      <c r="B38" t="s">
        <v>10</v>
      </c>
      <c r="C38" t="s">
        <v>44</v>
      </c>
      <c r="D38">
        <v>32887</v>
      </c>
    </row>
    <row r="39" spans="1:4">
      <c r="A39" t="s">
        <v>57</v>
      </c>
      <c r="B39" t="s">
        <v>6</v>
      </c>
      <c r="C39" t="s">
        <v>44</v>
      </c>
      <c r="D39">
        <v>8999</v>
      </c>
    </row>
    <row r="40" spans="1:4">
      <c r="A40" t="s">
        <v>56</v>
      </c>
      <c r="B40" t="s">
        <v>5</v>
      </c>
      <c r="C40" t="s">
        <v>44</v>
      </c>
      <c r="D40">
        <v>7</v>
      </c>
    </row>
    <row r="41" spans="1:4">
      <c r="A41" t="s">
        <v>57</v>
      </c>
      <c r="B41" t="s">
        <v>3</v>
      </c>
      <c r="C41" t="s">
        <v>44</v>
      </c>
      <c r="D41">
        <v>2936</v>
      </c>
    </row>
    <row r="42" spans="1:4">
      <c r="A42" t="s">
        <v>57</v>
      </c>
      <c r="B42" t="s">
        <v>7</v>
      </c>
      <c r="C42" t="s">
        <v>44</v>
      </c>
      <c r="D42">
        <v>14864</v>
      </c>
    </row>
    <row r="43" spans="1:4">
      <c r="A43" t="s">
        <v>56</v>
      </c>
      <c r="B43" t="s">
        <v>4</v>
      </c>
      <c r="C43" t="s">
        <v>44</v>
      </c>
      <c r="D43">
        <v>753</v>
      </c>
    </row>
    <row r="44" spans="1:4">
      <c r="A44" t="s">
        <v>56</v>
      </c>
      <c r="B44" t="s">
        <v>10</v>
      </c>
      <c r="C44" t="s">
        <v>44</v>
      </c>
      <c r="D44">
        <v>17889</v>
      </c>
    </row>
    <row r="45" spans="1:4">
      <c r="A45" t="s">
        <v>56</v>
      </c>
      <c r="B45" t="s">
        <v>6</v>
      </c>
      <c r="C45" t="s">
        <v>44</v>
      </c>
      <c r="D45">
        <v>1001</v>
      </c>
    </row>
    <row r="46" spans="1:4">
      <c r="A46" t="s">
        <v>56</v>
      </c>
      <c r="B46" t="s">
        <v>3</v>
      </c>
      <c r="C46" t="s">
        <v>44</v>
      </c>
      <c r="D46">
        <v>231</v>
      </c>
    </row>
    <row r="47" spans="1:4">
      <c r="A47" t="s">
        <v>56</v>
      </c>
      <c r="B47" t="s">
        <v>7</v>
      </c>
      <c r="C47" t="s">
        <v>44</v>
      </c>
      <c r="D47">
        <v>886</v>
      </c>
    </row>
    <row r="48" spans="1:4">
      <c r="A48" t="s">
        <v>58</v>
      </c>
      <c r="B48" t="s">
        <v>9</v>
      </c>
      <c r="C48" t="s">
        <v>45</v>
      </c>
      <c r="D48">
        <v>1109</v>
      </c>
    </row>
    <row r="49" spans="1:4">
      <c r="A49" t="s">
        <v>58</v>
      </c>
      <c r="B49" t="s">
        <v>8</v>
      </c>
      <c r="C49" t="s">
        <v>45</v>
      </c>
      <c r="D49">
        <v>7378</v>
      </c>
    </row>
  </sheetData>
  <conditionalFormatting sqref="G10:G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{a4ed405d-d1f0-4b19-85e5-06f78dc9d7c2}</x14:id>
        </ext>
      </extLst>
    </cfRule>
  </conditionalFormatting>
  <conditionalFormatting sqref="H10:H17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{af008fd5-fd82-4954-8aee-451886e4bc3d}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ed405d-d1f0-4b19-85e5-06f78dc9d7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G10:G17</xm:sqref>
        </x14:conditionalFormatting>
        <x14:conditionalFormatting xmlns:xm="http://schemas.microsoft.com/office/excel/2006/main">
          <x14:cfRule type="dataBar" id="{af008fd5-fd82-4954-8aee-451886e4bc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H10:H17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workbookViewId="0">
      <selection activeCell="F7" sqref="F7:I17"/>
    </sheetView>
  </sheetViews>
  <sheetFormatPr defaultColWidth="9" defaultRowHeight="14"/>
  <cols>
    <col min="2" max="2" width="12.0090909090909" customWidth="1"/>
    <col min="3" max="3" width="10.0909090909091" customWidth="1"/>
    <col min="6" max="6" width="15.6909090909091"/>
    <col min="7" max="8" width="17.3818181818182"/>
    <col min="9" max="9" width="8.92727272727273"/>
  </cols>
  <sheetData>
    <row r="1" ht="27" spans="1:6">
      <c r="A1" t="s">
        <v>53</v>
      </c>
      <c r="B1" t="s">
        <v>29</v>
      </c>
      <c r="C1" t="s">
        <v>42</v>
      </c>
      <c r="D1" t="s">
        <v>38</v>
      </c>
      <c r="F1" s="5" t="s">
        <v>66</v>
      </c>
    </row>
    <row r="2" spans="1:4">
      <c r="A2" t="s">
        <v>58</v>
      </c>
      <c r="B2" t="s">
        <v>9</v>
      </c>
      <c r="C2">
        <v>0</v>
      </c>
      <c r="D2">
        <v>504</v>
      </c>
    </row>
    <row r="3" spans="1:4">
      <c r="A3" t="s">
        <v>58</v>
      </c>
      <c r="B3" t="s">
        <v>9</v>
      </c>
      <c r="C3">
        <v>1</v>
      </c>
      <c r="D3">
        <v>3410</v>
      </c>
    </row>
    <row r="4" spans="1:4">
      <c r="A4" t="s">
        <v>58</v>
      </c>
      <c r="B4" t="s">
        <v>8</v>
      </c>
      <c r="C4">
        <v>0</v>
      </c>
      <c r="D4">
        <v>3938</v>
      </c>
    </row>
    <row r="5" spans="1:4">
      <c r="A5" t="s">
        <v>58</v>
      </c>
      <c r="B5" t="s">
        <v>8</v>
      </c>
      <c r="C5">
        <v>1</v>
      </c>
      <c r="D5">
        <v>29818</v>
      </c>
    </row>
    <row r="6" spans="1:4">
      <c r="A6" t="s">
        <v>57</v>
      </c>
      <c r="B6" t="s">
        <v>9</v>
      </c>
      <c r="C6">
        <v>0</v>
      </c>
      <c r="D6">
        <v>273</v>
      </c>
    </row>
    <row r="7" spans="1:7">
      <c r="A7" t="s">
        <v>57</v>
      </c>
      <c r="B7" t="s">
        <v>9</v>
      </c>
      <c r="C7">
        <v>1</v>
      </c>
      <c r="D7">
        <v>2943</v>
      </c>
      <c r="F7" t="s">
        <v>28</v>
      </c>
      <c r="G7" t="s">
        <v>42</v>
      </c>
    </row>
    <row r="8" spans="1:9">
      <c r="A8" t="s">
        <v>57</v>
      </c>
      <c r="B8" t="s">
        <v>8</v>
      </c>
      <c r="C8">
        <v>0</v>
      </c>
      <c r="D8">
        <v>2913</v>
      </c>
      <c r="F8" t="s">
        <v>29</v>
      </c>
      <c r="G8">
        <v>0</v>
      </c>
      <c r="H8">
        <v>1</v>
      </c>
      <c r="I8" t="s">
        <v>11</v>
      </c>
    </row>
    <row r="9" spans="1:9">
      <c r="A9" t="s">
        <v>57</v>
      </c>
      <c r="B9" t="s">
        <v>8</v>
      </c>
      <c r="C9">
        <v>1</v>
      </c>
      <c r="D9">
        <v>26448</v>
      </c>
      <c r="F9" t="s">
        <v>3</v>
      </c>
      <c r="G9" s="3">
        <v>0.0871967538634205</v>
      </c>
      <c r="H9" s="3">
        <v>0.91280324613658</v>
      </c>
      <c r="I9" s="3">
        <v>1</v>
      </c>
    </row>
    <row r="10" spans="1:9">
      <c r="A10" t="s">
        <v>56</v>
      </c>
      <c r="B10" t="s">
        <v>9</v>
      </c>
      <c r="C10">
        <v>0</v>
      </c>
      <c r="D10">
        <v>211</v>
      </c>
      <c r="F10" t="s">
        <v>4</v>
      </c>
      <c r="G10" s="3">
        <v>0.165268997548703</v>
      </c>
      <c r="H10" s="3">
        <v>0.834731002451297</v>
      </c>
      <c r="I10" s="3">
        <v>1</v>
      </c>
    </row>
    <row r="11" spans="1:9">
      <c r="A11" t="s">
        <v>56</v>
      </c>
      <c r="B11" t="s">
        <v>9</v>
      </c>
      <c r="C11">
        <v>1</v>
      </c>
      <c r="D11">
        <v>2861</v>
      </c>
      <c r="F11" t="s">
        <v>5</v>
      </c>
      <c r="G11" s="3">
        <v>0.111606073669589</v>
      </c>
      <c r="H11" s="3">
        <v>0.888393926330412</v>
      </c>
      <c r="I11" s="3">
        <v>1</v>
      </c>
    </row>
    <row r="12" spans="1:9">
      <c r="A12" t="s">
        <v>56</v>
      </c>
      <c r="B12" t="s">
        <v>8</v>
      </c>
      <c r="C12">
        <v>0</v>
      </c>
      <c r="D12">
        <v>30</v>
      </c>
      <c r="F12" t="s">
        <v>6</v>
      </c>
      <c r="G12" s="3">
        <v>0.108814846056516</v>
      </c>
      <c r="H12" s="3">
        <v>0.891185153943484</v>
      </c>
      <c r="I12" s="3">
        <v>1</v>
      </c>
    </row>
    <row r="13" spans="1:9">
      <c r="A13" t="s">
        <v>56</v>
      </c>
      <c r="B13" t="s">
        <v>8</v>
      </c>
      <c r="C13">
        <v>1</v>
      </c>
      <c r="D13">
        <v>174</v>
      </c>
      <c r="F13" t="s">
        <v>7</v>
      </c>
      <c r="G13" s="3">
        <v>0.104065725721508</v>
      </c>
      <c r="H13" s="3">
        <v>0.895934274278492</v>
      </c>
      <c r="I13" s="3">
        <v>1</v>
      </c>
    </row>
    <row r="14" spans="1:9">
      <c r="A14" t="s">
        <v>58</v>
      </c>
      <c r="B14" t="s">
        <v>5</v>
      </c>
      <c r="C14">
        <v>0</v>
      </c>
      <c r="D14">
        <v>1301</v>
      </c>
      <c r="F14" t="s">
        <v>8</v>
      </c>
      <c r="G14" s="3">
        <v>0.108668530187458</v>
      </c>
      <c r="H14" s="3">
        <v>0.891331469812542</v>
      </c>
      <c r="I14" s="3">
        <v>1</v>
      </c>
    </row>
    <row r="15" spans="1:9">
      <c r="A15" t="s">
        <v>58</v>
      </c>
      <c r="B15" t="s">
        <v>5</v>
      </c>
      <c r="C15">
        <v>1</v>
      </c>
      <c r="D15">
        <v>10521</v>
      </c>
      <c r="F15" t="s">
        <v>9</v>
      </c>
      <c r="G15" s="3">
        <v>0.0968437561262498</v>
      </c>
      <c r="H15" s="3">
        <v>0.90315624387375</v>
      </c>
      <c r="I15" s="3">
        <v>1</v>
      </c>
    </row>
    <row r="16" spans="1:9">
      <c r="A16" t="s">
        <v>58</v>
      </c>
      <c r="B16" t="s">
        <v>4</v>
      </c>
      <c r="C16">
        <v>0</v>
      </c>
      <c r="D16">
        <v>652</v>
      </c>
      <c r="F16" t="s">
        <v>10</v>
      </c>
      <c r="G16" s="3">
        <v>0.133546890533525</v>
      </c>
      <c r="H16" s="3">
        <v>0.866453109466475</v>
      </c>
      <c r="I16" s="3">
        <v>1</v>
      </c>
    </row>
    <row r="17" spans="1:9">
      <c r="A17" t="s">
        <v>58</v>
      </c>
      <c r="B17" t="s">
        <v>4</v>
      </c>
      <c r="C17">
        <v>1</v>
      </c>
      <c r="D17">
        <v>3287</v>
      </c>
      <c r="F17" t="s">
        <v>11</v>
      </c>
      <c r="G17" s="3">
        <v>0.118865296520986</v>
      </c>
      <c r="H17" s="3">
        <v>0.881134703479015</v>
      </c>
      <c r="I17" s="3">
        <v>1</v>
      </c>
    </row>
    <row r="18" spans="1:4">
      <c r="A18" t="s">
        <v>58</v>
      </c>
      <c r="B18" t="s">
        <v>10</v>
      </c>
      <c r="C18">
        <v>0</v>
      </c>
      <c r="D18">
        <v>7131</v>
      </c>
    </row>
    <row r="19" spans="1:4">
      <c r="A19" t="s">
        <v>58</v>
      </c>
      <c r="B19" t="s">
        <v>10</v>
      </c>
      <c r="C19">
        <v>1</v>
      </c>
      <c r="D19">
        <v>46298</v>
      </c>
    </row>
    <row r="20" spans="1:4">
      <c r="A20" t="s">
        <v>58</v>
      </c>
      <c r="B20" t="s">
        <v>6</v>
      </c>
      <c r="C20">
        <v>0</v>
      </c>
      <c r="D20">
        <v>1334</v>
      </c>
    </row>
    <row r="21" spans="1:4">
      <c r="A21" t="s">
        <v>57</v>
      </c>
      <c r="B21" t="s">
        <v>5</v>
      </c>
      <c r="C21">
        <v>0</v>
      </c>
      <c r="D21">
        <v>1027</v>
      </c>
    </row>
    <row r="22" spans="1:4">
      <c r="A22" t="s">
        <v>58</v>
      </c>
      <c r="B22" t="s">
        <v>6</v>
      </c>
      <c r="C22">
        <v>1</v>
      </c>
      <c r="D22">
        <v>10758</v>
      </c>
    </row>
    <row r="23" spans="1:4">
      <c r="A23" t="s">
        <v>57</v>
      </c>
      <c r="B23" t="s">
        <v>5</v>
      </c>
      <c r="C23">
        <v>1</v>
      </c>
      <c r="D23">
        <v>8016</v>
      </c>
    </row>
    <row r="24" spans="1:4">
      <c r="A24" t="s">
        <v>58</v>
      </c>
      <c r="B24" t="s">
        <v>3</v>
      </c>
      <c r="C24">
        <v>0</v>
      </c>
      <c r="D24">
        <v>640</v>
      </c>
    </row>
    <row r="25" spans="1:4">
      <c r="A25" t="s">
        <v>58</v>
      </c>
      <c r="B25" t="s">
        <v>3</v>
      </c>
      <c r="C25">
        <v>1</v>
      </c>
      <c r="D25">
        <v>6443</v>
      </c>
    </row>
    <row r="26" spans="1:4">
      <c r="A26" t="s">
        <v>58</v>
      </c>
      <c r="B26" t="s">
        <v>7</v>
      </c>
      <c r="C26">
        <v>0</v>
      </c>
      <c r="D26">
        <v>2368</v>
      </c>
    </row>
    <row r="27" spans="1:4">
      <c r="A27" t="s">
        <v>58</v>
      </c>
      <c r="B27" t="s">
        <v>7</v>
      </c>
      <c r="C27">
        <v>1</v>
      </c>
      <c r="D27">
        <v>22302</v>
      </c>
    </row>
    <row r="28" spans="1:4">
      <c r="A28" t="s">
        <v>57</v>
      </c>
      <c r="B28" t="s">
        <v>4</v>
      </c>
      <c r="C28">
        <v>0</v>
      </c>
      <c r="D28">
        <v>388</v>
      </c>
    </row>
    <row r="29" spans="1:4">
      <c r="A29" t="s">
        <v>57</v>
      </c>
      <c r="B29" t="s">
        <v>4</v>
      </c>
      <c r="C29">
        <v>1</v>
      </c>
      <c r="D29">
        <v>1993</v>
      </c>
    </row>
    <row r="30" spans="1:4">
      <c r="A30" t="s">
        <v>57</v>
      </c>
      <c r="B30" t="s">
        <v>10</v>
      </c>
      <c r="C30">
        <v>0</v>
      </c>
      <c r="D30">
        <v>6635</v>
      </c>
    </row>
    <row r="31" spans="1:4">
      <c r="A31" t="s">
        <v>57</v>
      </c>
      <c r="B31" t="s">
        <v>10</v>
      </c>
      <c r="C31">
        <v>1</v>
      </c>
      <c r="D31">
        <v>45506</v>
      </c>
    </row>
    <row r="32" spans="1:4">
      <c r="A32" t="s">
        <v>57</v>
      </c>
      <c r="B32" t="s">
        <v>6</v>
      </c>
      <c r="C32">
        <v>0</v>
      </c>
      <c r="D32">
        <v>1381</v>
      </c>
    </row>
    <row r="33" spans="1:4">
      <c r="A33" t="s">
        <v>56</v>
      </c>
      <c r="B33" t="s">
        <v>5</v>
      </c>
      <c r="C33">
        <v>0</v>
      </c>
      <c r="D33">
        <v>2</v>
      </c>
    </row>
    <row r="34" spans="1:4">
      <c r="A34" t="s">
        <v>57</v>
      </c>
      <c r="B34" t="s">
        <v>6</v>
      </c>
      <c r="C34">
        <v>1</v>
      </c>
      <c r="D34">
        <v>11218</v>
      </c>
    </row>
    <row r="35" spans="1:4">
      <c r="A35" t="s">
        <v>56</v>
      </c>
      <c r="B35" t="s">
        <v>5</v>
      </c>
      <c r="C35">
        <v>1</v>
      </c>
      <c r="D35">
        <v>10</v>
      </c>
    </row>
    <row r="36" spans="1:4">
      <c r="A36" t="s">
        <v>57</v>
      </c>
      <c r="B36" t="s">
        <v>3</v>
      </c>
      <c r="C36">
        <v>0</v>
      </c>
      <c r="D36">
        <v>342</v>
      </c>
    </row>
    <row r="37" spans="1:4">
      <c r="A37" t="s">
        <v>57</v>
      </c>
      <c r="B37" t="s">
        <v>3</v>
      </c>
      <c r="C37">
        <v>1</v>
      </c>
      <c r="D37">
        <v>3737</v>
      </c>
    </row>
    <row r="38" spans="1:4">
      <c r="A38" t="s">
        <v>57</v>
      </c>
      <c r="B38" t="s">
        <v>7</v>
      </c>
      <c r="C38">
        <v>0</v>
      </c>
      <c r="D38">
        <v>2404</v>
      </c>
    </row>
    <row r="39" spans="1:4">
      <c r="A39" t="s">
        <v>57</v>
      </c>
      <c r="B39" t="s">
        <v>7</v>
      </c>
      <c r="C39">
        <v>1</v>
      </c>
      <c r="D39">
        <v>19122</v>
      </c>
    </row>
    <row r="40" spans="1:4">
      <c r="A40" t="s">
        <v>56</v>
      </c>
      <c r="B40" t="s">
        <v>4</v>
      </c>
      <c r="C40">
        <v>0</v>
      </c>
      <c r="D40">
        <v>241</v>
      </c>
    </row>
    <row r="41" spans="1:4">
      <c r="A41" t="s">
        <v>56</v>
      </c>
      <c r="B41" t="s">
        <v>4</v>
      </c>
      <c r="C41">
        <v>1</v>
      </c>
      <c r="D41">
        <v>1190</v>
      </c>
    </row>
    <row r="42" spans="1:4">
      <c r="A42" t="s">
        <v>56</v>
      </c>
      <c r="B42" t="s">
        <v>10</v>
      </c>
      <c r="C42">
        <v>0</v>
      </c>
      <c r="D42">
        <v>4369</v>
      </c>
    </row>
    <row r="43" spans="1:4">
      <c r="A43" t="s">
        <v>56</v>
      </c>
      <c r="B43" t="s">
        <v>10</v>
      </c>
      <c r="C43">
        <v>1</v>
      </c>
      <c r="D43">
        <v>25856</v>
      </c>
    </row>
    <row r="44" spans="1:4">
      <c r="A44" t="s">
        <v>56</v>
      </c>
      <c r="B44" t="s">
        <v>6</v>
      </c>
      <c r="C44">
        <v>0</v>
      </c>
      <c r="D44">
        <v>123</v>
      </c>
    </row>
    <row r="45" spans="1:4">
      <c r="A45" t="s">
        <v>56</v>
      </c>
      <c r="B45" t="s">
        <v>6</v>
      </c>
      <c r="C45">
        <v>1</v>
      </c>
      <c r="D45">
        <v>1267</v>
      </c>
    </row>
    <row r="46" spans="1:4">
      <c r="A46" t="s">
        <v>56</v>
      </c>
      <c r="B46" t="s">
        <v>3</v>
      </c>
      <c r="C46">
        <v>0</v>
      </c>
      <c r="D46">
        <v>28</v>
      </c>
    </row>
    <row r="47" spans="1:4">
      <c r="A47" t="s">
        <v>56</v>
      </c>
      <c r="B47" t="s">
        <v>3</v>
      </c>
      <c r="C47">
        <v>1</v>
      </c>
      <c r="D47">
        <v>393</v>
      </c>
    </row>
    <row r="48" spans="1:4">
      <c r="A48" t="s">
        <v>56</v>
      </c>
      <c r="B48" t="s">
        <v>7</v>
      </c>
      <c r="C48">
        <v>0</v>
      </c>
      <c r="D48">
        <v>168</v>
      </c>
    </row>
    <row r="49" spans="1:4">
      <c r="A49" t="s">
        <v>56</v>
      </c>
      <c r="B49" t="s">
        <v>7</v>
      </c>
      <c r="C49">
        <v>1</v>
      </c>
      <c r="D49">
        <v>1106</v>
      </c>
    </row>
  </sheetData>
  <conditionalFormatting sqref="H9:H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{50199a1a-77da-4a98-a9cf-adaa3e59eb0c}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199a1a-77da-4a98-a9cf-adaa3e59eb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H9:H16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6"/>
  <sheetViews>
    <sheetView workbookViewId="0">
      <selection activeCell="F9" sqref="F9:K19"/>
    </sheetView>
  </sheetViews>
  <sheetFormatPr defaultColWidth="9" defaultRowHeight="14"/>
  <cols>
    <col min="6" max="6" width="15.6909090909091"/>
    <col min="7" max="10" width="10.7727272727273"/>
    <col min="11" max="11" width="8.92727272727273"/>
  </cols>
  <sheetData>
    <row r="1" ht="40.5" spans="1:6">
      <c r="A1" t="s">
        <v>53</v>
      </c>
      <c r="B1" t="s">
        <v>29</v>
      </c>
      <c r="C1" t="s">
        <v>43</v>
      </c>
      <c r="D1" t="s">
        <v>38</v>
      </c>
      <c r="F1" s="4" t="s">
        <v>67</v>
      </c>
    </row>
    <row r="2" spans="1:4">
      <c r="A2" t="s">
        <v>58</v>
      </c>
      <c r="B2" t="s">
        <v>9</v>
      </c>
      <c r="C2">
        <v>1</v>
      </c>
      <c r="D2">
        <v>3546</v>
      </c>
    </row>
    <row r="3" spans="1:4">
      <c r="A3" t="s">
        <v>58</v>
      </c>
      <c r="B3" t="s">
        <v>9</v>
      </c>
      <c r="C3">
        <v>2</v>
      </c>
      <c r="D3">
        <v>267</v>
      </c>
    </row>
    <row r="4" spans="1:4">
      <c r="A4" t="s">
        <v>58</v>
      </c>
      <c r="B4" t="s">
        <v>9</v>
      </c>
      <c r="C4">
        <v>3</v>
      </c>
      <c r="D4">
        <v>29</v>
      </c>
    </row>
    <row r="5" spans="1:4">
      <c r="A5" t="s">
        <v>58</v>
      </c>
      <c r="B5" t="s">
        <v>9</v>
      </c>
      <c r="C5">
        <v>4</v>
      </c>
      <c r="D5">
        <v>72</v>
      </c>
    </row>
    <row r="6" spans="1:4">
      <c r="A6" t="s">
        <v>58</v>
      </c>
      <c r="B6" t="s">
        <v>8</v>
      </c>
      <c r="C6">
        <v>1</v>
      </c>
      <c r="D6">
        <v>31015</v>
      </c>
    </row>
    <row r="7" spans="1:4">
      <c r="A7" t="s">
        <v>58</v>
      </c>
      <c r="B7" t="s">
        <v>8</v>
      </c>
      <c r="C7">
        <v>2</v>
      </c>
      <c r="D7">
        <v>1955</v>
      </c>
    </row>
    <row r="8" spans="1:4">
      <c r="A8" t="s">
        <v>58</v>
      </c>
      <c r="B8" t="s">
        <v>8</v>
      </c>
      <c r="C8">
        <v>3</v>
      </c>
      <c r="D8">
        <v>306</v>
      </c>
    </row>
    <row r="9" spans="1:7">
      <c r="A9" t="s">
        <v>58</v>
      </c>
      <c r="B9" t="s">
        <v>8</v>
      </c>
      <c r="C9">
        <v>4</v>
      </c>
      <c r="D9">
        <v>480</v>
      </c>
      <c r="F9" t="s">
        <v>28</v>
      </c>
      <c r="G9" t="s">
        <v>43</v>
      </c>
    </row>
    <row r="10" spans="1:11">
      <c r="A10" t="s">
        <v>57</v>
      </c>
      <c r="B10" t="s">
        <v>9</v>
      </c>
      <c r="C10">
        <v>1</v>
      </c>
      <c r="D10">
        <v>2951</v>
      </c>
      <c r="F10" t="s">
        <v>29</v>
      </c>
      <c r="G10">
        <v>1</v>
      </c>
      <c r="H10">
        <v>2</v>
      </c>
      <c r="I10">
        <v>3</v>
      </c>
      <c r="J10">
        <v>4</v>
      </c>
      <c r="K10" t="s">
        <v>11</v>
      </c>
    </row>
    <row r="11" spans="1:11">
      <c r="A11" t="s">
        <v>57</v>
      </c>
      <c r="B11" t="s">
        <v>9</v>
      </c>
      <c r="C11">
        <v>2</v>
      </c>
      <c r="D11">
        <v>199</v>
      </c>
      <c r="F11" t="s">
        <v>3</v>
      </c>
      <c r="G11" s="3">
        <v>0.944660277993611</v>
      </c>
      <c r="H11" s="3">
        <v>0.0425623758957092</v>
      </c>
      <c r="I11" s="3">
        <v>0.00466200466200466</v>
      </c>
      <c r="J11" s="3">
        <v>0.00811534144867478</v>
      </c>
      <c r="K11" s="3">
        <v>1</v>
      </c>
    </row>
    <row r="12" spans="1:11">
      <c r="A12" t="s">
        <v>57</v>
      </c>
      <c r="B12" t="s">
        <v>9</v>
      </c>
      <c r="C12">
        <v>3</v>
      </c>
      <c r="D12">
        <v>19</v>
      </c>
      <c r="F12" t="s">
        <v>4</v>
      </c>
      <c r="G12" s="3">
        <v>0.865694749064637</v>
      </c>
      <c r="H12" s="3">
        <v>0.0897948651786866</v>
      </c>
      <c r="I12" s="3">
        <v>0.0157399045284479</v>
      </c>
      <c r="J12" s="3">
        <v>0.0287704812282286</v>
      </c>
      <c r="K12" s="3">
        <v>1</v>
      </c>
    </row>
    <row r="13" spans="1:11">
      <c r="A13" t="s">
        <v>57</v>
      </c>
      <c r="B13" t="s">
        <v>9</v>
      </c>
      <c r="C13">
        <v>4</v>
      </c>
      <c r="D13">
        <v>47</v>
      </c>
      <c r="F13" t="s">
        <v>5</v>
      </c>
      <c r="G13" s="3">
        <v>0.860564257316664</v>
      </c>
      <c r="H13" s="3">
        <v>0.0917756382622024</v>
      </c>
      <c r="I13" s="3">
        <v>0.0166690616467883</v>
      </c>
      <c r="J13" s="3">
        <v>0.030991042774345</v>
      </c>
      <c r="K13" s="3">
        <v>1</v>
      </c>
    </row>
    <row r="14" spans="1:11">
      <c r="A14" t="s">
        <v>57</v>
      </c>
      <c r="B14" t="s">
        <v>8</v>
      </c>
      <c r="C14">
        <v>1</v>
      </c>
      <c r="D14">
        <v>26918</v>
      </c>
      <c r="F14" t="s">
        <v>6</v>
      </c>
      <c r="G14" s="3">
        <v>0.897089835512442</v>
      </c>
      <c r="H14" s="3">
        <v>0.069245811126874</v>
      </c>
      <c r="I14" s="3">
        <v>0.0126912311644492</v>
      </c>
      <c r="J14" s="3">
        <v>0.0209731221962348</v>
      </c>
      <c r="K14" s="3">
        <v>1</v>
      </c>
    </row>
    <row r="15" spans="1:11">
      <c r="A15" t="s">
        <v>57</v>
      </c>
      <c r="B15" t="s">
        <v>8</v>
      </c>
      <c r="C15">
        <v>2</v>
      </c>
      <c r="D15">
        <v>1700</v>
      </c>
      <c r="F15" t="s">
        <v>7</v>
      </c>
      <c r="G15" s="3">
        <v>0.919443859279545</v>
      </c>
      <c r="H15" s="3">
        <v>0.0582051822203497</v>
      </c>
      <c r="I15" s="3">
        <v>0.00636191278702338</v>
      </c>
      <c r="J15" s="3">
        <v>0.0159890457130819</v>
      </c>
      <c r="K15" s="3">
        <v>1</v>
      </c>
    </row>
    <row r="16" spans="1:11">
      <c r="A16" t="s">
        <v>57</v>
      </c>
      <c r="B16" t="s">
        <v>8</v>
      </c>
      <c r="C16">
        <v>3</v>
      </c>
      <c r="D16">
        <v>300</v>
      </c>
      <c r="F16" t="s">
        <v>8</v>
      </c>
      <c r="G16" s="3">
        <v>0.917136495001658</v>
      </c>
      <c r="H16" s="3">
        <v>0.0582745060880277</v>
      </c>
      <c r="I16" s="3">
        <v>0.00977558787763933</v>
      </c>
      <c r="J16" s="3">
        <v>0.0148134110326748</v>
      </c>
      <c r="K16" s="3">
        <v>1</v>
      </c>
    </row>
    <row r="17" spans="1:11">
      <c r="A17" t="s">
        <v>57</v>
      </c>
      <c r="B17" t="s">
        <v>8</v>
      </c>
      <c r="C17">
        <v>4</v>
      </c>
      <c r="D17">
        <v>443</v>
      </c>
      <c r="F17" t="s">
        <v>9</v>
      </c>
      <c r="G17" s="3">
        <v>0.921485983140561</v>
      </c>
      <c r="H17" s="3">
        <v>0.0579298176828073</v>
      </c>
      <c r="I17" s="3">
        <v>0.00578317976867281</v>
      </c>
      <c r="J17" s="3">
        <v>0.0148010194079592</v>
      </c>
      <c r="K17" s="3">
        <v>1</v>
      </c>
    </row>
    <row r="18" spans="1:11">
      <c r="A18" t="s">
        <v>56</v>
      </c>
      <c r="B18" t="s">
        <v>9</v>
      </c>
      <c r="C18">
        <v>1</v>
      </c>
      <c r="D18">
        <v>2904</v>
      </c>
      <c r="F18" t="s">
        <v>10</v>
      </c>
      <c r="G18" s="3">
        <v>0.896299569203579</v>
      </c>
      <c r="H18" s="3">
        <v>0.0731985713759711</v>
      </c>
      <c r="I18" s="3">
        <v>0.0100298243676129</v>
      </c>
      <c r="J18" s="3">
        <v>0.020472035052837</v>
      </c>
      <c r="K18" s="3">
        <v>1</v>
      </c>
    </row>
    <row r="19" spans="1:11">
      <c r="A19" t="s">
        <v>56</v>
      </c>
      <c r="B19" t="s">
        <v>9</v>
      </c>
      <c r="C19">
        <v>2</v>
      </c>
      <c r="D19">
        <v>125</v>
      </c>
      <c r="F19" t="s">
        <v>11</v>
      </c>
      <c r="G19" s="3">
        <v>0.903333539680575</v>
      </c>
      <c r="H19" s="3">
        <v>0.067769592670546</v>
      </c>
      <c r="I19" s="3">
        <v>0.00989538194874335</v>
      </c>
      <c r="J19" s="3">
        <v>0.0190014857001362</v>
      </c>
      <c r="K19" s="3">
        <v>1</v>
      </c>
    </row>
    <row r="20" spans="1:4">
      <c r="A20" t="s">
        <v>56</v>
      </c>
      <c r="B20" t="s">
        <v>9</v>
      </c>
      <c r="C20">
        <v>3</v>
      </c>
      <c r="D20">
        <v>11</v>
      </c>
    </row>
    <row r="21" spans="1:4">
      <c r="A21" t="s">
        <v>56</v>
      </c>
      <c r="B21" t="s">
        <v>9</v>
      </c>
      <c r="C21">
        <v>4</v>
      </c>
      <c r="D21">
        <v>32</v>
      </c>
    </row>
    <row r="22" spans="1:4">
      <c r="A22" t="s">
        <v>56</v>
      </c>
      <c r="B22" t="s">
        <v>8</v>
      </c>
      <c r="C22">
        <v>1</v>
      </c>
      <c r="D22">
        <v>141</v>
      </c>
    </row>
    <row r="23" spans="1:4">
      <c r="A23" t="s">
        <v>56</v>
      </c>
      <c r="B23" t="s">
        <v>8</v>
      </c>
      <c r="C23">
        <v>2</v>
      </c>
      <c r="D23">
        <v>35</v>
      </c>
    </row>
    <row r="24" spans="1:4">
      <c r="A24" t="s">
        <v>56</v>
      </c>
      <c r="B24" t="s">
        <v>8</v>
      </c>
      <c r="C24">
        <v>3</v>
      </c>
      <c r="D24">
        <v>13</v>
      </c>
    </row>
    <row r="25" spans="1:4">
      <c r="A25" t="s">
        <v>56</v>
      </c>
      <c r="B25" t="s">
        <v>8</v>
      </c>
      <c r="C25">
        <v>4</v>
      </c>
      <c r="D25">
        <v>15</v>
      </c>
    </row>
    <row r="26" spans="1:4">
      <c r="A26" t="s">
        <v>58</v>
      </c>
      <c r="B26" t="s">
        <v>5</v>
      </c>
      <c r="C26">
        <v>1</v>
      </c>
      <c r="D26">
        <v>10146</v>
      </c>
    </row>
    <row r="27" spans="1:4">
      <c r="A27" t="s">
        <v>58</v>
      </c>
      <c r="B27" t="s">
        <v>5</v>
      </c>
      <c r="C27">
        <v>2</v>
      </c>
      <c r="D27">
        <v>1073</v>
      </c>
    </row>
    <row r="28" spans="1:4">
      <c r="A28" t="s">
        <v>58</v>
      </c>
      <c r="B28" t="s">
        <v>5</v>
      </c>
      <c r="C28">
        <v>3</v>
      </c>
      <c r="D28">
        <v>217</v>
      </c>
    </row>
    <row r="29" spans="1:4">
      <c r="A29" t="s">
        <v>58</v>
      </c>
      <c r="B29" t="s">
        <v>5</v>
      </c>
      <c r="C29">
        <v>4</v>
      </c>
      <c r="D29">
        <v>386</v>
      </c>
    </row>
    <row r="30" spans="1:4">
      <c r="A30" t="s">
        <v>58</v>
      </c>
      <c r="B30" t="s">
        <v>4</v>
      </c>
      <c r="C30">
        <v>1</v>
      </c>
      <c r="D30">
        <v>3519</v>
      </c>
    </row>
    <row r="31" spans="1:4">
      <c r="A31" t="s">
        <v>58</v>
      </c>
      <c r="B31" t="s">
        <v>4</v>
      </c>
      <c r="C31">
        <v>2</v>
      </c>
      <c r="D31">
        <v>282</v>
      </c>
    </row>
    <row r="32" spans="1:4">
      <c r="A32" t="s">
        <v>58</v>
      </c>
      <c r="B32" t="s">
        <v>4</v>
      </c>
      <c r="C32">
        <v>3</v>
      </c>
      <c r="D32">
        <v>49</v>
      </c>
    </row>
    <row r="33" spans="1:4">
      <c r="A33" t="s">
        <v>58</v>
      </c>
      <c r="B33" t="s">
        <v>4</v>
      </c>
      <c r="C33">
        <v>4</v>
      </c>
      <c r="D33">
        <v>89</v>
      </c>
    </row>
    <row r="34" spans="1:4">
      <c r="A34" t="s">
        <v>58</v>
      </c>
      <c r="B34" t="s">
        <v>10</v>
      </c>
      <c r="C34">
        <v>1</v>
      </c>
      <c r="D34">
        <v>48637</v>
      </c>
    </row>
    <row r="35" spans="1:4">
      <c r="A35" t="s">
        <v>58</v>
      </c>
      <c r="B35" t="s">
        <v>10</v>
      </c>
      <c r="C35">
        <v>2</v>
      </c>
      <c r="D35">
        <v>3444</v>
      </c>
    </row>
    <row r="36" spans="1:4">
      <c r="A36" t="s">
        <v>58</v>
      </c>
      <c r="B36" t="s">
        <v>10</v>
      </c>
      <c r="C36">
        <v>3</v>
      </c>
      <c r="D36">
        <v>490</v>
      </c>
    </row>
    <row r="37" spans="1:4">
      <c r="A37" t="s">
        <v>58</v>
      </c>
      <c r="B37" t="s">
        <v>10</v>
      </c>
      <c r="C37">
        <v>4</v>
      </c>
      <c r="D37">
        <v>858</v>
      </c>
    </row>
    <row r="38" spans="1:4">
      <c r="A38" t="s">
        <v>58</v>
      </c>
      <c r="B38" t="s">
        <v>6</v>
      </c>
      <c r="C38">
        <v>1</v>
      </c>
      <c r="D38">
        <v>10808</v>
      </c>
    </row>
    <row r="39" spans="1:4">
      <c r="A39" t="s">
        <v>57</v>
      </c>
      <c r="B39" t="s">
        <v>5</v>
      </c>
      <c r="C39">
        <v>1</v>
      </c>
      <c r="D39">
        <v>7812</v>
      </c>
    </row>
    <row r="40" spans="1:4">
      <c r="A40" t="s">
        <v>58</v>
      </c>
      <c r="B40" t="s">
        <v>6</v>
      </c>
      <c r="C40">
        <v>2</v>
      </c>
      <c r="D40">
        <v>852</v>
      </c>
    </row>
    <row r="41" spans="1:4">
      <c r="A41" t="s">
        <v>57</v>
      </c>
      <c r="B41" t="s">
        <v>5</v>
      </c>
      <c r="C41">
        <v>2</v>
      </c>
      <c r="D41">
        <v>840</v>
      </c>
    </row>
    <row r="42" spans="1:4">
      <c r="A42" t="s">
        <v>58</v>
      </c>
      <c r="B42" t="s">
        <v>6</v>
      </c>
      <c r="C42">
        <v>3</v>
      </c>
      <c r="D42">
        <v>171</v>
      </c>
    </row>
    <row r="43" spans="1:4">
      <c r="A43" t="s">
        <v>57</v>
      </c>
      <c r="B43" t="s">
        <v>5</v>
      </c>
      <c r="C43">
        <v>3</v>
      </c>
      <c r="D43">
        <v>131</v>
      </c>
    </row>
    <row r="44" spans="1:4">
      <c r="A44" t="s">
        <v>58</v>
      </c>
      <c r="B44" t="s">
        <v>6</v>
      </c>
      <c r="C44">
        <v>4</v>
      </c>
      <c r="D44">
        <v>261</v>
      </c>
    </row>
    <row r="45" spans="1:4">
      <c r="A45" t="s">
        <v>57</v>
      </c>
      <c r="B45" t="s">
        <v>5</v>
      </c>
      <c r="C45">
        <v>4</v>
      </c>
      <c r="D45">
        <v>260</v>
      </c>
    </row>
    <row r="46" spans="1:4">
      <c r="A46" t="s">
        <v>58</v>
      </c>
      <c r="B46" t="s">
        <v>3</v>
      </c>
      <c r="C46">
        <v>1</v>
      </c>
      <c r="D46">
        <v>6686</v>
      </c>
    </row>
    <row r="47" spans="1:4">
      <c r="A47" t="s">
        <v>58</v>
      </c>
      <c r="B47" t="s">
        <v>3</v>
      </c>
      <c r="C47">
        <v>2</v>
      </c>
      <c r="D47">
        <v>303</v>
      </c>
    </row>
    <row r="48" spans="1:4">
      <c r="A48" t="s">
        <v>58</v>
      </c>
      <c r="B48" t="s">
        <v>3</v>
      </c>
      <c r="C48">
        <v>3</v>
      </c>
      <c r="D48">
        <v>36</v>
      </c>
    </row>
    <row r="49" spans="1:4">
      <c r="A49" t="s">
        <v>58</v>
      </c>
      <c r="B49" t="s">
        <v>3</v>
      </c>
      <c r="C49">
        <v>4</v>
      </c>
      <c r="D49">
        <v>58</v>
      </c>
    </row>
    <row r="50" spans="1:4">
      <c r="A50" t="s">
        <v>58</v>
      </c>
      <c r="B50" t="s">
        <v>7</v>
      </c>
      <c r="C50">
        <v>1</v>
      </c>
      <c r="D50">
        <v>23050</v>
      </c>
    </row>
    <row r="51" spans="1:4">
      <c r="A51" t="s">
        <v>58</v>
      </c>
      <c r="B51" t="s">
        <v>7</v>
      </c>
      <c r="C51">
        <v>2</v>
      </c>
      <c r="D51">
        <v>1201</v>
      </c>
    </row>
    <row r="52" spans="1:4">
      <c r="A52" t="s">
        <v>58</v>
      </c>
      <c r="B52" t="s">
        <v>7</v>
      </c>
      <c r="C52">
        <v>3</v>
      </c>
      <c r="D52">
        <v>129</v>
      </c>
    </row>
    <row r="53" spans="1:4">
      <c r="A53" t="s">
        <v>58</v>
      </c>
      <c r="B53" t="s">
        <v>7</v>
      </c>
      <c r="C53">
        <v>4</v>
      </c>
      <c r="D53">
        <v>290</v>
      </c>
    </row>
    <row r="54" spans="1:4">
      <c r="A54" t="s">
        <v>57</v>
      </c>
      <c r="B54" t="s">
        <v>4</v>
      </c>
      <c r="C54">
        <v>1</v>
      </c>
      <c r="D54">
        <v>2014</v>
      </c>
    </row>
    <row r="55" spans="1:4">
      <c r="A55" t="s">
        <v>57</v>
      </c>
      <c r="B55" t="s">
        <v>4</v>
      </c>
      <c r="C55">
        <v>2</v>
      </c>
      <c r="D55">
        <v>242</v>
      </c>
    </row>
    <row r="56" spans="1:4">
      <c r="A56" t="s">
        <v>57</v>
      </c>
      <c r="B56" t="s">
        <v>4</v>
      </c>
      <c r="C56">
        <v>3</v>
      </c>
      <c r="D56">
        <v>47</v>
      </c>
    </row>
    <row r="57" spans="1:4">
      <c r="A57" t="s">
        <v>57</v>
      </c>
      <c r="B57" t="s">
        <v>4</v>
      </c>
      <c r="C57">
        <v>4</v>
      </c>
      <c r="D57">
        <v>78</v>
      </c>
    </row>
    <row r="58" spans="1:4">
      <c r="A58" t="s">
        <v>57</v>
      </c>
      <c r="B58" t="s">
        <v>10</v>
      </c>
      <c r="C58">
        <v>1</v>
      </c>
      <c r="D58">
        <v>46532</v>
      </c>
    </row>
    <row r="59" spans="1:4">
      <c r="A59" t="s">
        <v>57</v>
      </c>
      <c r="B59" t="s">
        <v>10</v>
      </c>
      <c r="C59">
        <v>2</v>
      </c>
      <c r="D59">
        <v>4000</v>
      </c>
    </row>
    <row r="60" spans="1:4">
      <c r="A60" t="s">
        <v>57</v>
      </c>
      <c r="B60" t="s">
        <v>10</v>
      </c>
      <c r="C60">
        <v>3</v>
      </c>
      <c r="D60">
        <v>550</v>
      </c>
    </row>
    <row r="61" spans="1:4">
      <c r="A61" t="s">
        <v>57</v>
      </c>
      <c r="B61" t="s">
        <v>10</v>
      </c>
      <c r="C61">
        <v>4</v>
      </c>
      <c r="D61">
        <v>1059</v>
      </c>
    </row>
    <row r="62" spans="1:4">
      <c r="A62" t="s">
        <v>57</v>
      </c>
      <c r="B62" t="s">
        <v>6</v>
      </c>
      <c r="C62">
        <v>1</v>
      </c>
      <c r="D62">
        <v>11291</v>
      </c>
    </row>
    <row r="63" spans="1:4">
      <c r="A63" t="s">
        <v>56</v>
      </c>
      <c r="B63" t="s">
        <v>5</v>
      </c>
      <c r="C63">
        <v>1</v>
      </c>
      <c r="D63">
        <v>8</v>
      </c>
    </row>
    <row r="64" spans="1:4">
      <c r="A64" t="s">
        <v>57</v>
      </c>
      <c r="B64" t="s">
        <v>6</v>
      </c>
      <c r="C64">
        <v>2</v>
      </c>
      <c r="D64">
        <v>889</v>
      </c>
    </row>
    <row r="65" spans="1:4">
      <c r="A65" t="s">
        <v>56</v>
      </c>
      <c r="B65" t="s">
        <v>5</v>
      </c>
      <c r="C65">
        <v>2</v>
      </c>
      <c r="D65">
        <v>3</v>
      </c>
    </row>
    <row r="66" spans="1:4">
      <c r="A66" t="s">
        <v>57</v>
      </c>
      <c r="B66" t="s">
        <v>6</v>
      </c>
      <c r="C66">
        <v>3</v>
      </c>
      <c r="D66">
        <v>148</v>
      </c>
    </row>
    <row r="67" spans="1:4">
      <c r="A67" t="s">
        <v>57</v>
      </c>
      <c r="B67" t="s">
        <v>6</v>
      </c>
      <c r="C67">
        <v>4</v>
      </c>
      <c r="D67">
        <v>271</v>
      </c>
    </row>
    <row r="68" spans="1:4">
      <c r="A68" t="s">
        <v>56</v>
      </c>
      <c r="B68" t="s">
        <v>5</v>
      </c>
      <c r="C68">
        <v>4</v>
      </c>
      <c r="D68">
        <v>1</v>
      </c>
    </row>
    <row r="69" spans="1:4">
      <c r="A69" t="s">
        <v>57</v>
      </c>
      <c r="B69" t="s">
        <v>3</v>
      </c>
      <c r="C69">
        <v>1</v>
      </c>
      <c r="D69">
        <v>3862</v>
      </c>
    </row>
    <row r="70" spans="1:4">
      <c r="A70" t="s">
        <v>57</v>
      </c>
      <c r="B70" t="s">
        <v>3</v>
      </c>
      <c r="C70">
        <v>2</v>
      </c>
      <c r="D70">
        <v>167</v>
      </c>
    </row>
    <row r="71" spans="1:4">
      <c r="A71" t="s">
        <v>57</v>
      </c>
      <c r="B71" t="s">
        <v>3</v>
      </c>
      <c r="C71">
        <v>3</v>
      </c>
      <c r="D71">
        <v>17</v>
      </c>
    </row>
    <row r="72" spans="1:4">
      <c r="A72" t="s">
        <v>57</v>
      </c>
      <c r="B72" t="s">
        <v>3</v>
      </c>
      <c r="C72">
        <v>4</v>
      </c>
      <c r="D72">
        <v>33</v>
      </c>
    </row>
    <row r="73" spans="1:4">
      <c r="A73" t="s">
        <v>57</v>
      </c>
      <c r="B73" t="s">
        <v>7</v>
      </c>
      <c r="C73">
        <v>1</v>
      </c>
      <c r="D73">
        <v>19447</v>
      </c>
    </row>
    <row r="74" spans="1:4">
      <c r="A74" t="s">
        <v>57</v>
      </c>
      <c r="B74" t="s">
        <v>7</v>
      </c>
      <c r="C74">
        <v>2</v>
      </c>
      <c r="D74">
        <v>1469</v>
      </c>
    </row>
    <row r="75" spans="1:4">
      <c r="A75" t="s">
        <v>57</v>
      </c>
      <c r="B75" t="s">
        <v>7</v>
      </c>
      <c r="C75">
        <v>3</v>
      </c>
      <c r="D75">
        <v>166</v>
      </c>
    </row>
    <row r="76" spans="1:4">
      <c r="A76" t="s">
        <v>57</v>
      </c>
      <c r="B76" t="s">
        <v>7</v>
      </c>
      <c r="C76">
        <v>4</v>
      </c>
      <c r="D76">
        <v>444</v>
      </c>
    </row>
    <row r="77" spans="1:4">
      <c r="A77" t="s">
        <v>56</v>
      </c>
      <c r="B77" t="s">
        <v>4</v>
      </c>
      <c r="C77">
        <v>1</v>
      </c>
      <c r="D77">
        <v>1177</v>
      </c>
    </row>
    <row r="78" spans="1:4">
      <c r="A78" t="s">
        <v>56</v>
      </c>
      <c r="B78" t="s">
        <v>4</v>
      </c>
      <c r="C78">
        <v>2</v>
      </c>
      <c r="D78">
        <v>172</v>
      </c>
    </row>
    <row r="79" spans="1:4">
      <c r="A79" t="s">
        <v>56</v>
      </c>
      <c r="B79" t="s">
        <v>4</v>
      </c>
      <c r="C79">
        <v>3</v>
      </c>
      <c r="D79">
        <v>26</v>
      </c>
    </row>
    <row r="80" spans="1:4">
      <c r="A80" t="s">
        <v>56</v>
      </c>
      <c r="B80" t="s">
        <v>4</v>
      </c>
      <c r="C80">
        <v>4</v>
      </c>
      <c r="D80">
        <v>56</v>
      </c>
    </row>
    <row r="81" spans="1:4">
      <c r="A81" t="s">
        <v>56</v>
      </c>
      <c r="B81" t="s">
        <v>10</v>
      </c>
      <c r="C81">
        <v>1</v>
      </c>
      <c r="D81">
        <v>26544</v>
      </c>
    </row>
    <row r="82" spans="1:4">
      <c r="A82" t="s">
        <v>56</v>
      </c>
      <c r="B82" t="s">
        <v>10</v>
      </c>
      <c r="C82">
        <v>2</v>
      </c>
      <c r="D82">
        <v>2496</v>
      </c>
    </row>
    <row r="83" spans="1:4">
      <c r="A83" t="s">
        <v>56</v>
      </c>
      <c r="B83" t="s">
        <v>10</v>
      </c>
      <c r="C83">
        <v>3</v>
      </c>
      <c r="D83">
        <v>322</v>
      </c>
    </row>
    <row r="84" spans="1:4">
      <c r="A84" t="s">
        <v>56</v>
      </c>
      <c r="B84" t="s">
        <v>10</v>
      </c>
      <c r="C84">
        <v>4</v>
      </c>
      <c r="D84">
        <v>863</v>
      </c>
    </row>
    <row r="85" spans="1:4">
      <c r="A85" t="s">
        <v>56</v>
      </c>
      <c r="B85" t="s">
        <v>6</v>
      </c>
      <c r="C85">
        <v>1</v>
      </c>
      <c r="D85">
        <v>1298</v>
      </c>
    </row>
    <row r="86" spans="1:4">
      <c r="A86" t="s">
        <v>56</v>
      </c>
      <c r="B86" t="s">
        <v>6</v>
      </c>
      <c r="C86">
        <v>2</v>
      </c>
      <c r="D86">
        <v>65</v>
      </c>
    </row>
    <row r="87" spans="1:4">
      <c r="A87" t="s">
        <v>56</v>
      </c>
      <c r="B87" t="s">
        <v>6</v>
      </c>
      <c r="C87">
        <v>3</v>
      </c>
      <c r="D87">
        <v>12</v>
      </c>
    </row>
    <row r="88" spans="1:4">
      <c r="A88" t="s">
        <v>56</v>
      </c>
      <c r="B88" t="s">
        <v>6</v>
      </c>
      <c r="C88">
        <v>4</v>
      </c>
      <c r="D88">
        <v>15</v>
      </c>
    </row>
    <row r="89" spans="1:4">
      <c r="A89" t="s">
        <v>56</v>
      </c>
      <c r="B89" t="s">
        <v>3</v>
      </c>
      <c r="C89">
        <v>1</v>
      </c>
      <c r="D89">
        <v>394</v>
      </c>
    </row>
    <row r="90" spans="1:4">
      <c r="A90" t="s">
        <v>56</v>
      </c>
      <c r="B90" t="s">
        <v>3</v>
      </c>
      <c r="C90">
        <v>2</v>
      </c>
      <c r="D90">
        <v>23</v>
      </c>
    </row>
    <row r="91" spans="1:4">
      <c r="A91" t="s">
        <v>56</v>
      </c>
      <c r="B91" t="s">
        <v>3</v>
      </c>
      <c r="C91">
        <v>3</v>
      </c>
      <c r="D91">
        <v>1</v>
      </c>
    </row>
    <row r="92" spans="1:4">
      <c r="A92" t="s">
        <v>56</v>
      </c>
      <c r="B92" t="s">
        <v>3</v>
      </c>
      <c r="C92">
        <v>4</v>
      </c>
      <c r="D92">
        <v>3</v>
      </c>
    </row>
    <row r="93" spans="1:4">
      <c r="A93" t="s">
        <v>56</v>
      </c>
      <c r="B93" t="s">
        <v>7</v>
      </c>
      <c r="C93">
        <v>1</v>
      </c>
      <c r="D93">
        <v>1149</v>
      </c>
    </row>
    <row r="94" spans="1:4">
      <c r="A94" t="s">
        <v>56</v>
      </c>
      <c r="B94" t="s">
        <v>7</v>
      </c>
      <c r="C94">
        <v>2</v>
      </c>
      <c r="D94">
        <v>93</v>
      </c>
    </row>
    <row r="95" spans="1:4">
      <c r="A95" t="s">
        <v>56</v>
      </c>
      <c r="B95" t="s">
        <v>7</v>
      </c>
      <c r="C95">
        <v>3</v>
      </c>
      <c r="D95">
        <v>7</v>
      </c>
    </row>
    <row r="96" spans="1:4">
      <c r="A96" t="s">
        <v>56</v>
      </c>
      <c r="B96" t="s">
        <v>7</v>
      </c>
      <c r="C96">
        <v>4</v>
      </c>
      <c r="D96">
        <v>25</v>
      </c>
    </row>
  </sheetData>
  <conditionalFormatting sqref="G11:G1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{1ee876d3-ec43-4cd0-a8b1-f8ab28f6506f}</x14:id>
        </ext>
      </extLst>
    </cfRule>
  </conditionalFormatting>
  <conditionalFormatting sqref="H11:H1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{b1406112-a036-4472-b8d9-19b28e4e2ece}</x14:id>
        </ext>
      </extLst>
    </cfRule>
  </conditionalFormatting>
  <conditionalFormatting sqref="I11:I18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{bb5128eb-8188-4a54-b937-7336fb5c70e4}</x14:id>
        </ext>
      </extLst>
    </cfRule>
  </conditionalFormatting>
  <conditionalFormatting sqref="J11:J18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{e81e64b1-6b30-4b7e-b970-92a712219087}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e876d3-ec43-4cd0-a8b1-f8ab28f650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G11:G18</xm:sqref>
        </x14:conditionalFormatting>
        <x14:conditionalFormatting xmlns:xm="http://schemas.microsoft.com/office/excel/2006/main">
          <x14:cfRule type="dataBar" id="{b1406112-a036-4472-b8d9-19b28e4e2e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H11:H18</xm:sqref>
        </x14:conditionalFormatting>
        <x14:conditionalFormatting xmlns:xm="http://schemas.microsoft.com/office/excel/2006/main">
          <x14:cfRule type="dataBar" id="{bb5128eb-8188-4a54-b937-7336fb5c70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I11:I18</xm:sqref>
        </x14:conditionalFormatting>
        <x14:conditionalFormatting xmlns:xm="http://schemas.microsoft.com/office/excel/2006/main">
          <x14:cfRule type="dataBar" id="{e81e64b1-6b30-4b7e-b970-92a71221908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J11:J18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2"/>
  <sheetViews>
    <sheetView topLeftCell="D110" workbookViewId="0">
      <selection activeCell="F119" sqref="F119:M129"/>
    </sheetView>
  </sheetViews>
  <sheetFormatPr defaultColWidth="9" defaultRowHeight="14"/>
  <cols>
    <col min="1" max="2" width="15.6272727272727" style="1" customWidth="1"/>
    <col min="3" max="3" width="21.5" style="1" customWidth="1"/>
    <col min="4" max="4" width="15.6272727272727" style="1" customWidth="1"/>
    <col min="6" max="6" width="15.6909090909091"/>
    <col min="7" max="7" width="16.8272727272727" customWidth="1"/>
    <col min="8" max="12" width="20.5363636363636"/>
    <col min="13" max="13" width="8.92727272727273"/>
  </cols>
  <sheetData>
    <row r="1" spans="1:4">
      <c r="A1" s="1" t="s">
        <v>29</v>
      </c>
      <c r="B1" s="1" t="s">
        <v>53</v>
      </c>
      <c r="C1" s="1" t="s">
        <v>46</v>
      </c>
      <c r="D1" s="1" t="s">
        <v>38</v>
      </c>
    </row>
    <row r="2" spans="1:4">
      <c r="A2" s="2" t="s">
        <v>3</v>
      </c>
      <c r="B2" s="2" t="s">
        <v>56</v>
      </c>
      <c r="C2" s="2" t="s">
        <v>50</v>
      </c>
      <c r="D2" s="2">
        <v>43</v>
      </c>
    </row>
    <row r="3" spans="1:4">
      <c r="A3" s="2" t="s">
        <v>3</v>
      </c>
      <c r="B3" s="2" t="s">
        <v>56</v>
      </c>
      <c r="C3" s="2" t="s">
        <v>47</v>
      </c>
      <c r="D3" s="2">
        <v>44</v>
      </c>
    </row>
    <row r="4" spans="1:4">
      <c r="A4" s="2" t="s">
        <v>3</v>
      </c>
      <c r="B4" s="2" t="s">
        <v>56</v>
      </c>
      <c r="C4" s="2" t="s">
        <v>52</v>
      </c>
      <c r="D4" s="2">
        <v>14</v>
      </c>
    </row>
    <row r="5" spans="1:4">
      <c r="A5" s="2" t="s">
        <v>3</v>
      </c>
      <c r="B5" s="2" t="s">
        <v>56</v>
      </c>
      <c r="C5" s="2" t="s">
        <v>48</v>
      </c>
      <c r="D5" s="2">
        <v>38</v>
      </c>
    </row>
    <row r="6" spans="1:4">
      <c r="A6" s="2" t="s">
        <v>3</v>
      </c>
      <c r="B6" s="2" t="s">
        <v>56</v>
      </c>
      <c r="C6" s="2" t="s">
        <v>49</v>
      </c>
      <c r="D6" s="2">
        <v>59</v>
      </c>
    </row>
    <row r="7" spans="1:4">
      <c r="A7" s="2" t="s">
        <v>3</v>
      </c>
      <c r="B7" s="2" t="s">
        <v>56</v>
      </c>
      <c r="C7" s="2" t="s">
        <v>51</v>
      </c>
      <c r="D7" s="2">
        <v>74</v>
      </c>
    </row>
    <row r="8" spans="1:4">
      <c r="A8" s="2" t="s">
        <v>3</v>
      </c>
      <c r="B8" s="2" t="s">
        <v>57</v>
      </c>
      <c r="C8" s="2" t="s">
        <v>48</v>
      </c>
      <c r="D8" s="2">
        <v>516</v>
      </c>
    </row>
    <row r="9" spans="1:4">
      <c r="A9" s="2" t="s">
        <v>3</v>
      </c>
      <c r="B9" s="2" t="s">
        <v>57</v>
      </c>
      <c r="C9" s="2" t="s">
        <v>49</v>
      </c>
      <c r="D9" s="2">
        <v>564</v>
      </c>
    </row>
    <row r="10" spans="1:4">
      <c r="A10" s="2" t="s">
        <v>3</v>
      </c>
      <c r="B10" s="2" t="s">
        <v>57</v>
      </c>
      <c r="C10" s="2" t="s">
        <v>51</v>
      </c>
      <c r="D10" s="2">
        <v>506</v>
      </c>
    </row>
    <row r="11" spans="1:4">
      <c r="A11" s="2" t="s">
        <v>3</v>
      </c>
      <c r="B11" s="2" t="s">
        <v>57</v>
      </c>
      <c r="C11" s="2" t="s">
        <v>50</v>
      </c>
      <c r="D11" s="2">
        <v>299</v>
      </c>
    </row>
    <row r="12" spans="1:4">
      <c r="A12" s="2" t="s">
        <v>3</v>
      </c>
      <c r="B12" s="2" t="s">
        <v>57</v>
      </c>
      <c r="C12" s="2" t="s">
        <v>47</v>
      </c>
      <c r="D12" s="2">
        <v>457</v>
      </c>
    </row>
    <row r="13" spans="1:4">
      <c r="A13" s="2" t="s">
        <v>3</v>
      </c>
      <c r="B13" s="2" t="s">
        <v>57</v>
      </c>
      <c r="C13" s="2" t="s">
        <v>52</v>
      </c>
      <c r="D13" s="2">
        <v>188</v>
      </c>
    </row>
    <row r="14" spans="1:4">
      <c r="A14" s="2" t="s">
        <v>3</v>
      </c>
      <c r="B14" s="2" t="s">
        <v>58</v>
      </c>
      <c r="C14" s="2" t="s">
        <v>48</v>
      </c>
      <c r="D14" s="2">
        <v>929</v>
      </c>
    </row>
    <row r="15" spans="1:4">
      <c r="A15" s="2" t="s">
        <v>3</v>
      </c>
      <c r="B15" s="2" t="s">
        <v>58</v>
      </c>
      <c r="C15" s="2" t="s">
        <v>49</v>
      </c>
      <c r="D15" s="2">
        <v>893</v>
      </c>
    </row>
    <row r="16" spans="1:4">
      <c r="A16" s="2" t="s">
        <v>3</v>
      </c>
      <c r="B16" s="2" t="s">
        <v>58</v>
      </c>
      <c r="C16" s="2" t="s">
        <v>51</v>
      </c>
      <c r="D16" s="2">
        <v>785</v>
      </c>
    </row>
    <row r="17" spans="1:4">
      <c r="A17" s="2" t="s">
        <v>3</v>
      </c>
      <c r="B17" s="2" t="s">
        <v>58</v>
      </c>
      <c r="C17" s="2" t="s">
        <v>50</v>
      </c>
      <c r="D17" s="2">
        <v>522</v>
      </c>
    </row>
    <row r="18" spans="1:4">
      <c r="A18" s="2" t="s">
        <v>3</v>
      </c>
      <c r="B18" s="2" t="s">
        <v>58</v>
      </c>
      <c r="C18" s="2" t="s">
        <v>47</v>
      </c>
      <c r="D18" s="2">
        <v>745</v>
      </c>
    </row>
    <row r="19" spans="1:4">
      <c r="A19" s="2" t="s">
        <v>3</v>
      </c>
      <c r="B19" s="2" t="s">
        <v>58</v>
      </c>
      <c r="C19" s="2" t="s">
        <v>52</v>
      </c>
      <c r="D19" s="2">
        <v>358</v>
      </c>
    </row>
    <row r="20" spans="1:4">
      <c r="A20" s="2" t="s">
        <v>4</v>
      </c>
      <c r="B20" s="2" t="s">
        <v>56</v>
      </c>
      <c r="C20" s="2" t="s">
        <v>47</v>
      </c>
      <c r="D20" s="2">
        <v>156</v>
      </c>
    </row>
    <row r="21" spans="1:4">
      <c r="A21" s="2" t="s">
        <v>4</v>
      </c>
      <c r="B21" s="2" t="s">
        <v>56</v>
      </c>
      <c r="C21" s="2" t="s">
        <v>49</v>
      </c>
      <c r="D21" s="2">
        <v>216</v>
      </c>
    </row>
    <row r="22" spans="1:4">
      <c r="A22" s="2" t="s">
        <v>4</v>
      </c>
      <c r="B22" s="2" t="s">
        <v>56</v>
      </c>
      <c r="C22" s="2" t="s">
        <v>51</v>
      </c>
      <c r="D22" s="2">
        <v>237</v>
      </c>
    </row>
    <row r="23" spans="1:4">
      <c r="A23" s="2" t="s">
        <v>4</v>
      </c>
      <c r="B23" s="2" t="s">
        <v>56</v>
      </c>
      <c r="C23" s="2" t="s">
        <v>48</v>
      </c>
      <c r="D23" s="2">
        <v>197</v>
      </c>
    </row>
    <row r="24" spans="1:4">
      <c r="A24" s="2" t="s">
        <v>4</v>
      </c>
      <c r="B24" s="2" t="s">
        <v>56</v>
      </c>
      <c r="C24" s="2" t="s">
        <v>50</v>
      </c>
      <c r="D24" s="2">
        <v>121</v>
      </c>
    </row>
    <row r="25" spans="1:4">
      <c r="A25" s="2" t="s">
        <v>4</v>
      </c>
      <c r="B25" s="2" t="s">
        <v>56</v>
      </c>
      <c r="C25" s="2" t="s">
        <v>52</v>
      </c>
      <c r="D25" s="2">
        <v>105</v>
      </c>
    </row>
    <row r="26" spans="1:4">
      <c r="A26" s="2" t="s">
        <v>4</v>
      </c>
      <c r="B26" s="2" t="s">
        <v>57</v>
      </c>
      <c r="C26" s="2" t="s">
        <v>48</v>
      </c>
      <c r="D26" s="2">
        <v>350</v>
      </c>
    </row>
    <row r="27" spans="1:4">
      <c r="A27" s="2" t="s">
        <v>4</v>
      </c>
      <c r="B27" s="2" t="s">
        <v>57</v>
      </c>
      <c r="C27" s="2" t="s">
        <v>50</v>
      </c>
      <c r="D27" s="2">
        <v>213</v>
      </c>
    </row>
    <row r="28" spans="1:4">
      <c r="A28" s="2" t="s">
        <v>4</v>
      </c>
      <c r="B28" s="2" t="s">
        <v>57</v>
      </c>
      <c r="C28" s="2" t="s">
        <v>52</v>
      </c>
      <c r="D28" s="2">
        <v>177</v>
      </c>
    </row>
    <row r="29" spans="1:4">
      <c r="A29" s="2" t="s">
        <v>4</v>
      </c>
      <c r="B29" s="2" t="s">
        <v>57</v>
      </c>
      <c r="C29" s="2" t="s">
        <v>47</v>
      </c>
      <c r="D29" s="2">
        <v>275</v>
      </c>
    </row>
    <row r="30" spans="1:4">
      <c r="A30" s="2" t="s">
        <v>4</v>
      </c>
      <c r="B30" s="2" t="s">
        <v>57</v>
      </c>
      <c r="C30" s="2" t="s">
        <v>49</v>
      </c>
      <c r="D30" s="2">
        <v>291</v>
      </c>
    </row>
    <row r="31" spans="1:4">
      <c r="A31" s="2" t="s">
        <v>4</v>
      </c>
      <c r="B31" s="2" t="s">
        <v>57</v>
      </c>
      <c r="C31" s="2" t="s">
        <v>51</v>
      </c>
      <c r="D31" s="2">
        <v>350</v>
      </c>
    </row>
    <row r="32" spans="1:4">
      <c r="A32" s="2" t="s">
        <v>4</v>
      </c>
      <c r="B32" s="2" t="s">
        <v>58</v>
      </c>
      <c r="C32" s="2" t="s">
        <v>50</v>
      </c>
      <c r="D32" s="2">
        <v>332</v>
      </c>
    </row>
    <row r="33" spans="1:4">
      <c r="A33" s="2" t="s">
        <v>4</v>
      </c>
      <c r="B33" s="2" t="s">
        <v>58</v>
      </c>
      <c r="C33" s="2" t="s">
        <v>52</v>
      </c>
      <c r="D33" s="2">
        <v>325</v>
      </c>
    </row>
    <row r="34" spans="1:4">
      <c r="A34" s="2" t="s">
        <v>4</v>
      </c>
      <c r="B34" s="2" t="s">
        <v>58</v>
      </c>
      <c r="C34" s="2" t="s">
        <v>47</v>
      </c>
      <c r="D34" s="2">
        <v>470</v>
      </c>
    </row>
    <row r="35" spans="1:4">
      <c r="A35" s="2" t="s">
        <v>4</v>
      </c>
      <c r="B35" s="2" t="s">
        <v>58</v>
      </c>
      <c r="C35" s="2" t="s">
        <v>49</v>
      </c>
      <c r="D35" s="2">
        <v>580</v>
      </c>
    </row>
    <row r="36" spans="1:4">
      <c r="A36" s="2" t="s">
        <v>4</v>
      </c>
      <c r="B36" s="2" t="s">
        <v>58</v>
      </c>
      <c r="C36" s="2" t="s">
        <v>51</v>
      </c>
      <c r="D36" s="2">
        <v>463</v>
      </c>
    </row>
    <row r="37" spans="1:4">
      <c r="A37" s="2" t="s">
        <v>4</v>
      </c>
      <c r="B37" s="2" t="s">
        <v>58</v>
      </c>
      <c r="C37" s="2" t="s">
        <v>48</v>
      </c>
      <c r="D37" s="2">
        <v>571</v>
      </c>
    </row>
    <row r="38" spans="1:4">
      <c r="A38" s="2" t="s">
        <v>5</v>
      </c>
      <c r="B38" s="2" t="s">
        <v>56</v>
      </c>
      <c r="C38" s="2" t="s">
        <v>49</v>
      </c>
      <c r="D38" s="2">
        <v>2</v>
      </c>
    </row>
    <row r="39" spans="1:4">
      <c r="A39" s="2" t="s">
        <v>5</v>
      </c>
      <c r="B39" s="2" t="s">
        <v>56</v>
      </c>
      <c r="C39" s="2" t="s">
        <v>51</v>
      </c>
      <c r="D39" s="2">
        <v>3</v>
      </c>
    </row>
    <row r="40" spans="1:4">
      <c r="A40" s="2" t="s">
        <v>5</v>
      </c>
      <c r="B40" s="2" t="s">
        <v>56</v>
      </c>
      <c r="C40" s="2" t="s">
        <v>47</v>
      </c>
      <c r="D40" s="2">
        <v>2</v>
      </c>
    </row>
    <row r="41" spans="1:4">
      <c r="A41" s="2" t="s">
        <v>5</v>
      </c>
      <c r="B41" s="2" t="s">
        <v>57</v>
      </c>
      <c r="C41" s="2" t="s">
        <v>48</v>
      </c>
      <c r="D41" s="2">
        <v>1059</v>
      </c>
    </row>
    <row r="42" spans="1:4">
      <c r="A42" s="2" t="s">
        <v>5</v>
      </c>
      <c r="B42" s="2" t="s">
        <v>57</v>
      </c>
      <c r="C42" s="2" t="s">
        <v>49</v>
      </c>
      <c r="D42" s="2">
        <v>1082</v>
      </c>
    </row>
    <row r="43" spans="1:4">
      <c r="A43" s="2" t="s">
        <v>5</v>
      </c>
      <c r="B43" s="2" t="s">
        <v>57</v>
      </c>
      <c r="C43" s="2" t="s">
        <v>51</v>
      </c>
      <c r="D43" s="2">
        <v>1142</v>
      </c>
    </row>
    <row r="44" spans="1:4">
      <c r="A44" s="2" t="s">
        <v>5</v>
      </c>
      <c r="B44" s="2" t="s">
        <v>57</v>
      </c>
      <c r="C44" s="2" t="s">
        <v>50</v>
      </c>
      <c r="D44" s="2">
        <v>882</v>
      </c>
    </row>
    <row r="45" spans="1:4">
      <c r="A45" s="2" t="s">
        <v>5</v>
      </c>
      <c r="B45" s="2" t="s">
        <v>57</v>
      </c>
      <c r="C45" s="2" t="s">
        <v>47</v>
      </c>
      <c r="D45" s="2">
        <v>925</v>
      </c>
    </row>
    <row r="46" spans="1:4">
      <c r="A46" s="2" t="s">
        <v>5</v>
      </c>
      <c r="B46" s="2" t="s">
        <v>57</v>
      </c>
      <c r="C46" s="2" t="s">
        <v>52</v>
      </c>
      <c r="D46" s="2">
        <v>410</v>
      </c>
    </row>
    <row r="47" spans="1:4">
      <c r="A47" s="2" t="s">
        <v>5</v>
      </c>
      <c r="B47" s="2" t="s">
        <v>58</v>
      </c>
      <c r="C47" s="2" t="s">
        <v>49</v>
      </c>
      <c r="D47" s="2">
        <v>1382</v>
      </c>
    </row>
    <row r="48" spans="1:4">
      <c r="A48" s="2" t="s">
        <v>5</v>
      </c>
      <c r="B48" s="2" t="s">
        <v>58</v>
      </c>
      <c r="C48" s="2" t="s">
        <v>51</v>
      </c>
      <c r="D48" s="2">
        <v>1497</v>
      </c>
    </row>
    <row r="49" spans="1:4">
      <c r="A49" s="2" t="s">
        <v>5</v>
      </c>
      <c r="B49" s="2" t="s">
        <v>58</v>
      </c>
      <c r="C49" s="2" t="s">
        <v>50</v>
      </c>
      <c r="D49" s="2">
        <v>1127</v>
      </c>
    </row>
    <row r="50" spans="1:4">
      <c r="A50" s="2" t="s">
        <v>5</v>
      </c>
      <c r="B50" s="2" t="s">
        <v>58</v>
      </c>
      <c r="C50" s="2" t="s">
        <v>47</v>
      </c>
      <c r="D50" s="2">
        <v>1046</v>
      </c>
    </row>
    <row r="51" spans="1:4">
      <c r="A51" s="2" t="s">
        <v>5</v>
      </c>
      <c r="B51" s="2" t="s">
        <v>58</v>
      </c>
      <c r="C51" s="2" t="s">
        <v>52</v>
      </c>
      <c r="D51" s="2">
        <v>541</v>
      </c>
    </row>
    <row r="52" spans="1:4">
      <c r="A52" s="2" t="s">
        <v>5</v>
      </c>
      <c r="B52" s="2" t="s">
        <v>58</v>
      </c>
      <c r="C52" s="2" t="s">
        <v>48</v>
      </c>
      <c r="D52" s="2">
        <v>1381</v>
      </c>
    </row>
    <row r="53" spans="1:4">
      <c r="A53" s="2" t="s">
        <v>6</v>
      </c>
      <c r="B53" s="2" t="s">
        <v>56</v>
      </c>
      <c r="C53" s="2" t="s">
        <v>50</v>
      </c>
      <c r="D53" s="2">
        <v>159</v>
      </c>
    </row>
    <row r="54" spans="1:4">
      <c r="A54" s="2" t="s">
        <v>6</v>
      </c>
      <c r="B54" s="2" t="s">
        <v>56</v>
      </c>
      <c r="C54" s="2" t="s">
        <v>47</v>
      </c>
      <c r="D54" s="2">
        <v>56</v>
      </c>
    </row>
    <row r="55" spans="1:4">
      <c r="A55" s="2" t="s">
        <v>6</v>
      </c>
      <c r="B55" s="2" t="s">
        <v>56</v>
      </c>
      <c r="C55" s="2" t="s">
        <v>52</v>
      </c>
      <c r="D55" s="2">
        <v>32</v>
      </c>
    </row>
    <row r="56" spans="1:4">
      <c r="A56" s="2" t="s">
        <v>6</v>
      </c>
      <c r="B56" s="2" t="s">
        <v>56</v>
      </c>
      <c r="C56" s="2" t="s">
        <v>48</v>
      </c>
      <c r="D56" s="2">
        <v>110</v>
      </c>
    </row>
    <row r="57" spans="1:4">
      <c r="A57" s="2" t="s">
        <v>6</v>
      </c>
      <c r="B57" s="2" t="s">
        <v>56</v>
      </c>
      <c r="C57" s="2" t="s">
        <v>49</v>
      </c>
      <c r="D57" s="2">
        <v>194</v>
      </c>
    </row>
    <row r="58" spans="1:4">
      <c r="A58" s="2" t="s">
        <v>6</v>
      </c>
      <c r="B58" s="2" t="s">
        <v>56</v>
      </c>
      <c r="C58" s="2" t="s">
        <v>51</v>
      </c>
      <c r="D58" s="2">
        <v>206</v>
      </c>
    </row>
    <row r="59" spans="1:4">
      <c r="A59" s="2" t="s">
        <v>6</v>
      </c>
      <c r="B59" s="2" t="s">
        <v>57</v>
      </c>
      <c r="C59" s="2" t="s">
        <v>48</v>
      </c>
      <c r="D59" s="2">
        <v>1375</v>
      </c>
    </row>
    <row r="60" spans="1:4">
      <c r="A60" s="2" t="s">
        <v>6</v>
      </c>
      <c r="B60" s="2" t="s">
        <v>57</v>
      </c>
      <c r="C60" s="2" t="s">
        <v>49</v>
      </c>
      <c r="D60" s="2">
        <v>1393</v>
      </c>
    </row>
    <row r="61" spans="1:4">
      <c r="A61" s="2" t="s">
        <v>6</v>
      </c>
      <c r="B61" s="2" t="s">
        <v>57</v>
      </c>
      <c r="C61" s="2" t="s">
        <v>51</v>
      </c>
      <c r="D61" s="2">
        <v>1632</v>
      </c>
    </row>
    <row r="62" spans="1:4">
      <c r="A62" s="2" t="s">
        <v>6</v>
      </c>
      <c r="B62" s="2" t="s">
        <v>57</v>
      </c>
      <c r="C62" s="2" t="s">
        <v>50</v>
      </c>
      <c r="D62" s="2">
        <v>1194</v>
      </c>
    </row>
    <row r="63" spans="1:4">
      <c r="A63" s="2" t="s">
        <v>6</v>
      </c>
      <c r="B63" s="2" t="s">
        <v>57</v>
      </c>
      <c r="C63" s="2" t="s">
        <v>47</v>
      </c>
      <c r="D63" s="2">
        <v>1183</v>
      </c>
    </row>
    <row r="64" spans="1:4">
      <c r="A64" s="2" t="s">
        <v>6</v>
      </c>
      <c r="B64" s="2" t="s">
        <v>57</v>
      </c>
      <c r="C64" s="2" t="s">
        <v>52</v>
      </c>
      <c r="D64" s="2">
        <v>716</v>
      </c>
    </row>
    <row r="65" spans="1:4">
      <c r="A65" s="2" t="s">
        <v>6</v>
      </c>
      <c r="B65" s="2" t="s">
        <v>58</v>
      </c>
      <c r="C65" s="2" t="s">
        <v>48</v>
      </c>
      <c r="D65" s="2">
        <v>1378</v>
      </c>
    </row>
    <row r="66" spans="1:4">
      <c r="A66" s="2" t="s">
        <v>6</v>
      </c>
      <c r="B66" s="2" t="s">
        <v>58</v>
      </c>
      <c r="C66" s="2" t="s">
        <v>49</v>
      </c>
      <c r="D66" s="2">
        <v>1311</v>
      </c>
    </row>
    <row r="67" spans="1:4">
      <c r="A67" s="2" t="s">
        <v>6</v>
      </c>
      <c r="B67" s="2" t="s">
        <v>58</v>
      </c>
      <c r="C67" s="2" t="s">
        <v>51</v>
      </c>
      <c r="D67" s="2">
        <v>1447</v>
      </c>
    </row>
    <row r="68" spans="1:4">
      <c r="A68" s="2" t="s">
        <v>6</v>
      </c>
      <c r="B68" s="2" t="s">
        <v>58</v>
      </c>
      <c r="C68" s="2" t="s">
        <v>50</v>
      </c>
      <c r="D68" s="2">
        <v>1194</v>
      </c>
    </row>
    <row r="69" spans="1:4">
      <c r="A69" s="2" t="s">
        <v>6</v>
      </c>
      <c r="B69" s="2" t="s">
        <v>58</v>
      </c>
      <c r="C69" s="2" t="s">
        <v>47</v>
      </c>
      <c r="D69" s="2">
        <v>1266</v>
      </c>
    </row>
    <row r="70" spans="1:4">
      <c r="A70" s="2" t="s">
        <v>6</v>
      </c>
      <c r="B70" s="2" t="s">
        <v>58</v>
      </c>
      <c r="C70" s="2" t="s">
        <v>52</v>
      </c>
      <c r="D70" s="2">
        <v>741</v>
      </c>
    </row>
    <row r="71" spans="1:4">
      <c r="A71" s="2" t="s">
        <v>7</v>
      </c>
      <c r="B71" s="2" t="s">
        <v>56</v>
      </c>
      <c r="C71" s="2" t="s">
        <v>50</v>
      </c>
      <c r="D71" s="2">
        <v>116</v>
      </c>
    </row>
    <row r="72" spans="1:4">
      <c r="A72" s="2" t="s">
        <v>7</v>
      </c>
      <c r="B72" s="2" t="s">
        <v>56</v>
      </c>
      <c r="C72" s="2" t="s">
        <v>47</v>
      </c>
      <c r="D72" s="2">
        <v>133</v>
      </c>
    </row>
    <row r="73" spans="1:4">
      <c r="A73" s="2" t="s">
        <v>7</v>
      </c>
      <c r="B73" s="2" t="s">
        <v>56</v>
      </c>
      <c r="C73" s="2" t="s">
        <v>52</v>
      </c>
      <c r="D73" s="2">
        <v>77</v>
      </c>
    </row>
    <row r="74" spans="1:4">
      <c r="A74" s="2" t="s">
        <v>7</v>
      </c>
      <c r="B74" s="2" t="s">
        <v>56</v>
      </c>
      <c r="C74" s="2" t="s">
        <v>48</v>
      </c>
      <c r="D74" s="2">
        <v>181</v>
      </c>
    </row>
    <row r="75" spans="1:4">
      <c r="A75" s="2" t="s">
        <v>7</v>
      </c>
      <c r="B75" s="2" t="s">
        <v>56</v>
      </c>
      <c r="C75" s="2" t="s">
        <v>49</v>
      </c>
      <c r="D75" s="2">
        <v>162</v>
      </c>
    </row>
    <row r="76" spans="1:4">
      <c r="A76" s="2" t="s">
        <v>7</v>
      </c>
      <c r="B76" s="2" t="s">
        <v>56</v>
      </c>
      <c r="C76" s="2" t="s">
        <v>51</v>
      </c>
      <c r="D76" s="2">
        <v>137</v>
      </c>
    </row>
    <row r="77" spans="1:4">
      <c r="A77" s="2" t="s">
        <v>7</v>
      </c>
      <c r="B77" s="2" t="s">
        <v>57</v>
      </c>
      <c r="C77" s="2" t="s">
        <v>48</v>
      </c>
      <c r="D77" s="2">
        <v>2992</v>
      </c>
    </row>
    <row r="78" spans="1:4">
      <c r="A78" s="2" t="s">
        <v>7</v>
      </c>
      <c r="B78" s="2" t="s">
        <v>57</v>
      </c>
      <c r="C78" s="2" t="s">
        <v>49</v>
      </c>
      <c r="D78" s="2">
        <v>2688</v>
      </c>
    </row>
    <row r="79" spans="1:4">
      <c r="A79" s="2" t="s">
        <v>7</v>
      </c>
      <c r="B79" s="2" t="s">
        <v>57</v>
      </c>
      <c r="C79" s="2" t="s">
        <v>51</v>
      </c>
      <c r="D79" s="2">
        <v>2263</v>
      </c>
    </row>
    <row r="80" spans="1:4">
      <c r="A80" s="2" t="s">
        <v>7</v>
      </c>
      <c r="B80" s="2" t="s">
        <v>57</v>
      </c>
      <c r="C80" s="2" t="s">
        <v>50</v>
      </c>
      <c r="D80" s="2">
        <v>1992</v>
      </c>
    </row>
    <row r="81" spans="1:4">
      <c r="A81" s="2" t="s">
        <v>7</v>
      </c>
      <c r="B81" s="2" t="s">
        <v>57</v>
      </c>
      <c r="C81" s="2" t="s">
        <v>47</v>
      </c>
      <c r="D81" s="2">
        <v>2342</v>
      </c>
    </row>
    <row r="82" spans="1:4">
      <c r="A82" s="2" t="s">
        <v>7</v>
      </c>
      <c r="B82" s="2" t="s">
        <v>57</v>
      </c>
      <c r="C82" s="2" t="s">
        <v>52</v>
      </c>
      <c r="D82" s="2">
        <v>1072</v>
      </c>
    </row>
    <row r="83" spans="1:4">
      <c r="A83" s="2" t="s">
        <v>7</v>
      </c>
      <c r="B83" s="2" t="s">
        <v>58</v>
      </c>
      <c r="C83" s="2" t="s">
        <v>48</v>
      </c>
      <c r="D83" s="2">
        <v>3249</v>
      </c>
    </row>
    <row r="84" spans="1:4">
      <c r="A84" s="2" t="s">
        <v>7</v>
      </c>
      <c r="B84" s="2" t="s">
        <v>58</v>
      </c>
      <c r="C84" s="2" t="s">
        <v>49</v>
      </c>
      <c r="D84" s="2">
        <v>3145</v>
      </c>
    </row>
    <row r="85" spans="1:4">
      <c r="A85" s="2" t="s">
        <v>7</v>
      </c>
      <c r="B85" s="2" t="s">
        <v>58</v>
      </c>
      <c r="C85" s="2" t="s">
        <v>51</v>
      </c>
      <c r="D85" s="2">
        <v>2722</v>
      </c>
    </row>
    <row r="86" spans="1:4">
      <c r="A86" s="2" t="s">
        <v>7</v>
      </c>
      <c r="B86" s="2" t="s">
        <v>58</v>
      </c>
      <c r="C86" s="2" t="s">
        <v>50</v>
      </c>
      <c r="D86" s="2">
        <v>1898</v>
      </c>
    </row>
    <row r="87" spans="1:4">
      <c r="A87" s="2" t="s">
        <v>7</v>
      </c>
      <c r="B87" s="2" t="s">
        <v>58</v>
      </c>
      <c r="C87" s="2" t="s">
        <v>47</v>
      </c>
      <c r="D87" s="2">
        <v>2709</v>
      </c>
    </row>
    <row r="88" spans="1:4">
      <c r="A88" s="2" t="s">
        <v>7</v>
      </c>
      <c r="B88" s="2" t="s">
        <v>58</v>
      </c>
      <c r="C88" s="2" t="s">
        <v>52</v>
      </c>
      <c r="D88" s="2">
        <v>1131</v>
      </c>
    </row>
    <row r="89" spans="1:4">
      <c r="A89" s="2" t="s">
        <v>8</v>
      </c>
      <c r="B89" s="2" t="s">
        <v>56</v>
      </c>
      <c r="C89" s="2" t="s">
        <v>49</v>
      </c>
      <c r="D89" s="2">
        <v>26</v>
      </c>
    </row>
    <row r="90" spans="1:4">
      <c r="A90" s="2" t="s">
        <v>8</v>
      </c>
      <c r="B90" s="2" t="s">
        <v>56</v>
      </c>
      <c r="C90" s="2" t="s">
        <v>51</v>
      </c>
      <c r="D90" s="2">
        <v>33</v>
      </c>
    </row>
    <row r="91" spans="1:4">
      <c r="A91" s="2" t="s">
        <v>8</v>
      </c>
      <c r="B91" s="2" t="s">
        <v>56</v>
      </c>
      <c r="C91" s="2" t="s">
        <v>50</v>
      </c>
      <c r="D91" s="2">
        <v>14</v>
      </c>
    </row>
    <row r="92" spans="1:4">
      <c r="A92" s="2" t="s">
        <v>8</v>
      </c>
      <c r="B92" s="2" t="s">
        <v>56</v>
      </c>
      <c r="C92" s="2" t="s">
        <v>47</v>
      </c>
      <c r="D92" s="2">
        <v>17</v>
      </c>
    </row>
    <row r="93" spans="1:4">
      <c r="A93" s="2" t="s">
        <v>8</v>
      </c>
      <c r="B93" s="2" t="s">
        <v>56</v>
      </c>
      <c r="C93" s="2" t="s">
        <v>52</v>
      </c>
      <c r="D93" s="2">
        <v>10</v>
      </c>
    </row>
    <row r="94" spans="1:4">
      <c r="A94" s="2" t="s">
        <v>8</v>
      </c>
      <c r="B94" s="2" t="s">
        <v>56</v>
      </c>
      <c r="C94" s="2" t="s">
        <v>48</v>
      </c>
      <c r="D94" s="2">
        <v>20</v>
      </c>
    </row>
    <row r="95" spans="1:4">
      <c r="A95" s="2" t="s">
        <v>8</v>
      </c>
      <c r="B95" s="2" t="s">
        <v>57</v>
      </c>
      <c r="C95" s="2" t="s">
        <v>49</v>
      </c>
      <c r="D95" s="2">
        <v>3701</v>
      </c>
    </row>
    <row r="96" spans="1:4">
      <c r="A96" s="2" t="s">
        <v>8</v>
      </c>
      <c r="B96" s="2" t="s">
        <v>57</v>
      </c>
      <c r="C96" s="2" t="s">
        <v>51</v>
      </c>
      <c r="D96" s="2">
        <v>3041</v>
      </c>
    </row>
    <row r="97" spans="1:4">
      <c r="A97" s="2" t="s">
        <v>8</v>
      </c>
      <c r="B97" s="2" t="s">
        <v>57</v>
      </c>
      <c r="C97" s="2" t="s">
        <v>50</v>
      </c>
      <c r="D97" s="2">
        <v>2207</v>
      </c>
    </row>
    <row r="98" spans="1:4">
      <c r="A98" s="2" t="s">
        <v>8</v>
      </c>
      <c r="B98" s="2" t="s">
        <v>57</v>
      </c>
      <c r="C98" s="2" t="s">
        <v>47</v>
      </c>
      <c r="D98" s="2">
        <v>3503</v>
      </c>
    </row>
    <row r="99" spans="1:4">
      <c r="A99" s="2" t="s">
        <v>8</v>
      </c>
      <c r="B99" s="2" t="s">
        <v>57</v>
      </c>
      <c r="C99" s="2" t="s">
        <v>52</v>
      </c>
      <c r="D99" s="2">
        <v>1334</v>
      </c>
    </row>
    <row r="100" spans="1:4">
      <c r="A100" s="2" t="s">
        <v>8</v>
      </c>
      <c r="B100" s="2" t="s">
        <v>57</v>
      </c>
      <c r="C100" s="2" t="s">
        <v>48</v>
      </c>
      <c r="D100" s="2">
        <v>4072</v>
      </c>
    </row>
    <row r="101" spans="1:4">
      <c r="A101" s="2" t="s">
        <v>8</v>
      </c>
      <c r="B101" s="2" t="s">
        <v>58</v>
      </c>
      <c r="C101" s="2" t="s">
        <v>51</v>
      </c>
      <c r="D101" s="2">
        <v>3705</v>
      </c>
    </row>
    <row r="102" spans="1:4">
      <c r="A102" s="2" t="s">
        <v>8</v>
      </c>
      <c r="B102" s="2" t="s">
        <v>58</v>
      </c>
      <c r="C102" s="2" t="s">
        <v>50</v>
      </c>
      <c r="D102" s="2">
        <v>2780</v>
      </c>
    </row>
    <row r="103" spans="1:4">
      <c r="A103" s="2" t="s">
        <v>8</v>
      </c>
      <c r="B103" s="2" t="s">
        <v>58</v>
      </c>
      <c r="C103" s="2" t="s">
        <v>47</v>
      </c>
      <c r="D103" s="2">
        <v>3952</v>
      </c>
    </row>
    <row r="104" spans="1:4">
      <c r="A104" s="2" t="s">
        <v>8</v>
      </c>
      <c r="B104" s="2" t="s">
        <v>58</v>
      </c>
      <c r="C104" s="2" t="s">
        <v>52</v>
      </c>
      <c r="D104" s="2">
        <v>1508</v>
      </c>
    </row>
    <row r="105" spans="1:4">
      <c r="A105" s="2" t="s">
        <v>8</v>
      </c>
      <c r="B105" s="2" t="s">
        <v>58</v>
      </c>
      <c r="C105" s="2" t="s">
        <v>48</v>
      </c>
      <c r="D105" s="2">
        <v>4372</v>
      </c>
    </row>
    <row r="106" spans="1:4">
      <c r="A106" s="2" t="s">
        <v>8</v>
      </c>
      <c r="B106" s="2" t="s">
        <v>58</v>
      </c>
      <c r="C106" s="2" t="s">
        <v>49</v>
      </c>
      <c r="D106" s="2">
        <v>3831</v>
      </c>
    </row>
    <row r="107" spans="1:4">
      <c r="A107" s="2" t="s">
        <v>9</v>
      </c>
      <c r="B107" s="2" t="s">
        <v>56</v>
      </c>
      <c r="C107" s="2" t="s">
        <v>49</v>
      </c>
      <c r="D107" s="2">
        <v>214</v>
      </c>
    </row>
    <row r="108" spans="1:4">
      <c r="A108" s="2" t="s">
        <v>9</v>
      </c>
      <c r="B108" s="2" t="s">
        <v>56</v>
      </c>
      <c r="C108" s="2" t="s">
        <v>51</v>
      </c>
      <c r="D108" s="2">
        <v>268</v>
      </c>
    </row>
    <row r="109" spans="1:4">
      <c r="A109" s="2" t="s">
        <v>9</v>
      </c>
      <c r="B109" s="2" t="s">
        <v>56</v>
      </c>
      <c r="C109" s="2" t="s">
        <v>50</v>
      </c>
      <c r="D109" s="2">
        <v>47</v>
      </c>
    </row>
    <row r="110" spans="1:4">
      <c r="A110" s="2" t="s">
        <v>9</v>
      </c>
      <c r="B110" s="2" t="s">
        <v>56</v>
      </c>
      <c r="C110" s="2" t="s">
        <v>47</v>
      </c>
      <c r="D110" s="2">
        <v>393</v>
      </c>
    </row>
    <row r="111" spans="1:4">
      <c r="A111" s="2" t="s">
        <v>9</v>
      </c>
      <c r="B111" s="2" t="s">
        <v>56</v>
      </c>
      <c r="C111" s="2" t="s">
        <v>52</v>
      </c>
      <c r="D111" s="2">
        <v>610</v>
      </c>
    </row>
    <row r="112" spans="1:4">
      <c r="A112" s="2" t="s">
        <v>9</v>
      </c>
      <c r="B112" s="2" t="s">
        <v>56</v>
      </c>
      <c r="C112" s="2" t="s">
        <v>48</v>
      </c>
      <c r="D112" s="2">
        <v>494</v>
      </c>
    </row>
    <row r="113" spans="1:4">
      <c r="A113" s="2" t="s">
        <v>9</v>
      </c>
      <c r="B113" s="2" t="s">
        <v>57</v>
      </c>
      <c r="C113" s="2" t="s">
        <v>49</v>
      </c>
      <c r="D113" s="2">
        <v>214</v>
      </c>
    </row>
    <row r="114" spans="1:4">
      <c r="A114" s="2" t="s">
        <v>9</v>
      </c>
      <c r="B114" s="2" t="s">
        <v>57</v>
      </c>
      <c r="C114" s="2" t="s">
        <v>51</v>
      </c>
      <c r="D114" s="2">
        <v>337</v>
      </c>
    </row>
    <row r="115" spans="1:4">
      <c r="A115" s="2" t="s">
        <v>9</v>
      </c>
      <c r="B115" s="2" t="s">
        <v>57</v>
      </c>
      <c r="C115" s="2" t="s">
        <v>50</v>
      </c>
      <c r="D115" s="2">
        <v>57</v>
      </c>
    </row>
    <row r="116" spans="1:4">
      <c r="A116" s="2" t="s">
        <v>9</v>
      </c>
      <c r="B116" s="2" t="s">
        <v>57</v>
      </c>
      <c r="C116" s="2" t="s">
        <v>47</v>
      </c>
      <c r="D116" s="2">
        <v>426</v>
      </c>
    </row>
    <row r="117" spans="1:4">
      <c r="A117" s="2" t="s">
        <v>9</v>
      </c>
      <c r="B117" s="2" t="s">
        <v>57</v>
      </c>
      <c r="C117" s="2" t="s">
        <v>52</v>
      </c>
      <c r="D117" s="2">
        <v>704</v>
      </c>
    </row>
    <row r="118" spans="1:4">
      <c r="A118" s="2" t="s">
        <v>9</v>
      </c>
      <c r="B118" s="2" t="s">
        <v>57</v>
      </c>
      <c r="C118" s="2" t="s">
        <v>48</v>
      </c>
      <c r="D118" s="2">
        <v>472</v>
      </c>
    </row>
    <row r="119" spans="1:7">
      <c r="A119" s="2" t="s">
        <v>9</v>
      </c>
      <c r="B119" s="2" t="s">
        <v>58</v>
      </c>
      <c r="C119" s="2" t="s">
        <v>50</v>
      </c>
      <c r="D119" s="2">
        <v>162</v>
      </c>
      <c r="F119" t="s">
        <v>28</v>
      </c>
      <c r="G119" t="s">
        <v>46</v>
      </c>
    </row>
    <row r="120" spans="1:13">
      <c r="A120" s="2" t="s">
        <v>9</v>
      </c>
      <c r="B120" s="2" t="s">
        <v>58</v>
      </c>
      <c r="C120" s="2" t="s">
        <v>47</v>
      </c>
      <c r="D120" s="2">
        <v>510</v>
      </c>
      <c r="F120" t="s">
        <v>29</v>
      </c>
      <c r="G120" t="s">
        <v>47</v>
      </c>
      <c r="H120" t="s">
        <v>48</v>
      </c>
      <c r="I120" t="s">
        <v>49</v>
      </c>
      <c r="J120" t="s">
        <v>50</v>
      </c>
      <c r="K120" t="s">
        <v>51</v>
      </c>
      <c r="L120" t="s">
        <v>52</v>
      </c>
      <c r="M120" t="s">
        <v>11</v>
      </c>
    </row>
    <row r="121" spans="1:13">
      <c r="A121" s="2" t="s">
        <v>9</v>
      </c>
      <c r="B121" s="2" t="s">
        <v>58</v>
      </c>
      <c r="C121" s="2" t="s">
        <v>52</v>
      </c>
      <c r="D121" s="2">
        <v>724</v>
      </c>
      <c r="F121" t="s">
        <v>3</v>
      </c>
      <c r="G121" s="3">
        <v>0.177139607620131</v>
      </c>
      <c r="H121" s="3">
        <v>0.210833096388968</v>
      </c>
      <c r="I121" s="3">
        <v>0.215524594825135</v>
      </c>
      <c r="J121" s="3">
        <v>0.122831959056014</v>
      </c>
      <c r="K121" s="3">
        <v>0.194057435314188</v>
      </c>
      <c r="L121" s="3">
        <v>0.0796133067955644</v>
      </c>
      <c r="M121" s="3">
        <v>1</v>
      </c>
    </row>
    <row r="122" spans="1:13">
      <c r="A122" s="2" t="s">
        <v>9</v>
      </c>
      <c r="B122" s="2" t="s">
        <v>58</v>
      </c>
      <c r="C122" s="2" t="s">
        <v>48</v>
      </c>
      <c r="D122" s="2">
        <v>519</v>
      </c>
      <c r="F122" t="s">
        <v>4</v>
      </c>
      <c r="G122" s="3">
        <v>0.165960582059311</v>
      </c>
      <c r="H122" s="3">
        <v>0.205931110701787</v>
      </c>
      <c r="I122" s="3">
        <v>0.200221035181433</v>
      </c>
      <c r="J122" s="3">
        <v>0.12267452569534</v>
      </c>
      <c r="K122" s="3">
        <v>0.193405783753914</v>
      </c>
      <c r="L122" s="3">
        <v>0.111806962608215</v>
      </c>
      <c r="M122" s="3">
        <v>1</v>
      </c>
    </row>
    <row r="123" spans="1:13">
      <c r="A123" s="2" t="s">
        <v>9</v>
      </c>
      <c r="B123" s="2" t="s">
        <v>58</v>
      </c>
      <c r="C123" s="2" t="s">
        <v>49</v>
      </c>
      <c r="D123" s="2">
        <v>332</v>
      </c>
      <c r="F123" t="s">
        <v>5</v>
      </c>
      <c r="G123" s="3">
        <v>0.158080282028684</v>
      </c>
      <c r="H123" s="3">
        <v>0.195497155676628</v>
      </c>
      <c r="I123" s="3">
        <v>0.197580322089576</v>
      </c>
      <c r="J123" s="3">
        <v>0.160964666292765</v>
      </c>
      <c r="K123" s="3">
        <v>0.21168175626953</v>
      </c>
      <c r="L123" s="3">
        <v>0.0761958176428171</v>
      </c>
      <c r="M123" s="3">
        <v>1</v>
      </c>
    </row>
    <row r="124" spans="1:13">
      <c r="A124" s="2" t="s">
        <v>9</v>
      </c>
      <c r="B124" s="2" t="s">
        <v>58</v>
      </c>
      <c r="C124" s="2" t="s">
        <v>51</v>
      </c>
      <c r="D124" s="2">
        <v>335</v>
      </c>
      <c r="F124" t="s">
        <v>6</v>
      </c>
      <c r="G124" s="3">
        <v>0.160710848784243</v>
      </c>
      <c r="H124" s="3">
        <v>0.183678706614486</v>
      </c>
      <c r="I124" s="3">
        <v>0.185924167575544</v>
      </c>
      <c r="J124" s="3">
        <v>0.163405401937512</v>
      </c>
      <c r="K124" s="3">
        <v>0.210752550202092</v>
      </c>
      <c r="L124" s="3">
        <v>0.0955283248861231</v>
      </c>
      <c r="M124" s="3">
        <v>1</v>
      </c>
    </row>
    <row r="125" spans="1:13">
      <c r="A125" s="2" t="s">
        <v>10</v>
      </c>
      <c r="B125" s="2" t="s">
        <v>56</v>
      </c>
      <c r="C125" s="2" t="s">
        <v>47</v>
      </c>
      <c r="D125" s="2">
        <v>3197</v>
      </c>
      <c r="F125" t="s">
        <v>7</v>
      </c>
      <c r="G125" s="3">
        <v>0.178703161087938</v>
      </c>
      <c r="H125" s="3">
        <v>0.22137957185701</v>
      </c>
      <c r="I125" s="3">
        <v>0.206660002068324</v>
      </c>
      <c r="J125" s="3">
        <v>0.13809507394257</v>
      </c>
      <c r="K125" s="3">
        <v>0.176565893343445</v>
      </c>
      <c r="L125" s="3">
        <v>0.0785962977007136</v>
      </c>
      <c r="M125" s="3">
        <v>1</v>
      </c>
    </row>
    <row r="126" spans="1:13">
      <c r="A126" s="2" t="s">
        <v>10</v>
      </c>
      <c r="B126" s="2" t="s">
        <v>56</v>
      </c>
      <c r="C126" s="2" t="s">
        <v>52</v>
      </c>
      <c r="D126" s="2">
        <v>1496</v>
      </c>
      <c r="F126" t="s">
        <v>8</v>
      </c>
      <c r="G126" s="3">
        <v>0.195981744741122</v>
      </c>
      <c r="H126" s="3">
        <v>0.222000734406966</v>
      </c>
      <c r="I126" s="3">
        <v>0.198237423280701</v>
      </c>
      <c r="J126" s="3">
        <v>0.131170329958558</v>
      </c>
      <c r="K126" s="3">
        <v>0.177805172323349</v>
      </c>
      <c r="L126" s="3">
        <v>0.0748045952893039</v>
      </c>
      <c r="M126" s="3">
        <v>1</v>
      </c>
    </row>
    <row r="127" spans="1:13">
      <c r="A127" s="2" t="s">
        <v>10</v>
      </c>
      <c r="B127" s="2" t="s">
        <v>56</v>
      </c>
      <c r="C127" s="2" t="s">
        <v>48</v>
      </c>
      <c r="D127" s="2">
        <v>3959</v>
      </c>
      <c r="F127" t="s">
        <v>9</v>
      </c>
      <c r="G127" s="3">
        <v>0.19492519800528</v>
      </c>
      <c r="H127" s="3">
        <v>0.217805808154884</v>
      </c>
      <c r="I127" s="3">
        <v>0.111469639190378</v>
      </c>
      <c r="J127" s="3">
        <v>0.0390143737166324</v>
      </c>
      <c r="K127" s="3">
        <v>0.137870343209152</v>
      </c>
      <c r="L127" s="3">
        <v>0.298914637723673</v>
      </c>
      <c r="M127" s="3">
        <v>1</v>
      </c>
    </row>
    <row r="128" spans="1:13">
      <c r="A128" s="2" t="s">
        <v>10</v>
      </c>
      <c r="B128" s="2" t="s">
        <v>56</v>
      </c>
      <c r="C128" s="2" t="s">
        <v>49</v>
      </c>
      <c r="D128" s="2">
        <v>4390</v>
      </c>
      <c r="F128" t="s">
        <v>10</v>
      </c>
      <c r="G128" s="3">
        <v>0.16870023349099</v>
      </c>
      <c r="H128" s="3">
        <v>0.208884631503323</v>
      </c>
      <c r="I128" s="3">
        <v>0.228114709932347</v>
      </c>
      <c r="J128" s="3">
        <v>0.159336646111477</v>
      </c>
      <c r="K128" s="3">
        <v>0.163276058193139</v>
      </c>
      <c r="L128" s="3">
        <v>0.0716877207687242</v>
      </c>
      <c r="M128" s="3">
        <v>1</v>
      </c>
    </row>
    <row r="129" spans="1:13">
      <c r="A129" s="2" t="s">
        <v>10</v>
      </c>
      <c r="B129" s="2" t="s">
        <v>56</v>
      </c>
      <c r="C129" s="2" t="s">
        <v>51</v>
      </c>
      <c r="D129" s="2">
        <v>3269</v>
      </c>
      <c r="F129" t="s">
        <v>11</v>
      </c>
      <c r="G129" s="3">
        <v>0.175248359840201</v>
      </c>
      <c r="H129" s="3">
        <v>0.21070813488957</v>
      </c>
      <c r="I129" s="3">
        <v>0.208743478502417</v>
      </c>
      <c r="J129" s="3">
        <v>0.144778508982369</v>
      </c>
      <c r="K129" s="3">
        <v>0.175854423507189</v>
      </c>
      <c r="L129" s="3">
        <v>0.0846670942782539</v>
      </c>
      <c r="M129" s="3">
        <v>1</v>
      </c>
    </row>
    <row r="130" spans="1:4">
      <c r="A130" s="2" t="s">
        <v>10</v>
      </c>
      <c r="B130" s="2" t="s">
        <v>56</v>
      </c>
      <c r="C130" s="2" t="s">
        <v>50</v>
      </c>
      <c r="D130" s="2">
        <v>3096</v>
      </c>
    </row>
    <row r="131" spans="1:4">
      <c r="A131" s="2" t="s">
        <v>10</v>
      </c>
      <c r="B131" s="2" t="s">
        <v>57</v>
      </c>
      <c r="C131" s="2" t="s">
        <v>48</v>
      </c>
      <c r="D131" s="2">
        <v>6870</v>
      </c>
    </row>
    <row r="132" spans="1:4">
      <c r="A132" s="2" t="s">
        <v>10</v>
      </c>
      <c r="B132" s="2" t="s">
        <v>57</v>
      </c>
      <c r="C132" s="2" t="s">
        <v>49</v>
      </c>
      <c r="D132" s="2">
        <v>7415</v>
      </c>
    </row>
    <row r="133" spans="1:4">
      <c r="A133" s="2" t="s">
        <v>10</v>
      </c>
      <c r="B133" s="2" t="s">
        <v>57</v>
      </c>
      <c r="C133" s="2" t="s">
        <v>51</v>
      </c>
      <c r="D133" s="2">
        <v>5041</v>
      </c>
    </row>
    <row r="134" spans="1:4">
      <c r="A134" s="2" t="s">
        <v>10</v>
      </c>
      <c r="B134" s="2" t="s">
        <v>57</v>
      </c>
      <c r="C134" s="2" t="s">
        <v>50</v>
      </c>
      <c r="D134" s="2">
        <v>5320</v>
      </c>
    </row>
    <row r="135" spans="1:4">
      <c r="A135" s="2" t="s">
        <v>10</v>
      </c>
      <c r="B135" s="2" t="s">
        <v>57</v>
      </c>
      <c r="C135" s="2" t="s">
        <v>47</v>
      </c>
      <c r="D135" s="2">
        <v>5312</v>
      </c>
    </row>
    <row r="136" spans="1:4">
      <c r="A136" s="2" t="s">
        <v>10</v>
      </c>
      <c r="B136" s="2" t="s">
        <v>57</v>
      </c>
      <c r="C136" s="2" t="s">
        <v>52</v>
      </c>
      <c r="D136" s="2">
        <v>2132</v>
      </c>
    </row>
    <row r="137" spans="1:4">
      <c r="A137" s="2" t="s">
        <v>10</v>
      </c>
      <c r="B137" s="2" t="s">
        <v>58</v>
      </c>
      <c r="C137" s="2" t="s">
        <v>48</v>
      </c>
      <c r="D137" s="2">
        <v>6616</v>
      </c>
    </row>
    <row r="138" spans="1:4">
      <c r="A138" s="2" t="s">
        <v>10</v>
      </c>
      <c r="B138" s="2" t="s">
        <v>58</v>
      </c>
      <c r="C138" s="2" t="s">
        <v>49</v>
      </c>
      <c r="D138" s="2">
        <v>7246</v>
      </c>
    </row>
    <row r="139" spans="1:4">
      <c r="A139" s="2" t="s">
        <v>10</v>
      </c>
      <c r="B139" s="2" t="s">
        <v>58</v>
      </c>
      <c r="C139" s="2" t="s">
        <v>51</v>
      </c>
      <c r="D139" s="2">
        <v>5326</v>
      </c>
    </row>
    <row r="140" spans="1:4">
      <c r="A140" s="2" t="s">
        <v>10</v>
      </c>
      <c r="B140" s="2" t="s">
        <v>58</v>
      </c>
      <c r="C140" s="2" t="s">
        <v>50</v>
      </c>
      <c r="D140" s="2">
        <v>4891</v>
      </c>
    </row>
    <row r="141" spans="1:4">
      <c r="A141" s="2" t="s">
        <v>10</v>
      </c>
      <c r="B141" s="2" t="s">
        <v>58</v>
      </c>
      <c r="C141" s="2" t="s">
        <v>47</v>
      </c>
      <c r="D141" s="2">
        <v>5580</v>
      </c>
    </row>
    <row r="142" spans="1:4">
      <c r="A142" s="2" t="s">
        <v>10</v>
      </c>
      <c r="B142" s="2" t="s">
        <v>58</v>
      </c>
      <c r="C142" s="2" t="s">
        <v>52</v>
      </c>
      <c r="D142" s="2">
        <v>2359</v>
      </c>
    </row>
  </sheetData>
  <sortState ref="A2:D166">
    <sortCondition ref="A2:A166"/>
    <sortCondition ref="B2:B166"/>
  </sortState>
  <conditionalFormatting sqref="G121:G128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{06d83a2d-d33b-47d9-a90d-713fa0a49741}</x14:id>
        </ext>
      </extLst>
    </cfRule>
  </conditionalFormatting>
  <conditionalFormatting sqref="H121:H12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{331bb286-4b76-4723-806c-80e38199aea8}</x14:id>
        </ext>
      </extLst>
    </cfRule>
  </conditionalFormatting>
  <conditionalFormatting sqref="I121:I12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{526b86dd-2ed3-4c42-bf81-a015963a3387}</x14:id>
        </ext>
      </extLst>
    </cfRule>
  </conditionalFormatting>
  <conditionalFormatting sqref="J121:J128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{f6553715-be19-4773-a9fe-8dfe76a390dc}</x14:id>
        </ext>
      </extLst>
    </cfRule>
  </conditionalFormatting>
  <conditionalFormatting sqref="K121:K128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{a903f572-336c-4d72-82d2-457d4cd1fa3a}</x14:id>
        </ext>
      </extLst>
    </cfRule>
  </conditionalFormatting>
  <conditionalFormatting sqref="L121:L12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{534ba488-ea32-4f05-826e-1de27dff1984}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d83a2d-d33b-47d9-a90d-713fa0a497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G121:G128</xm:sqref>
        </x14:conditionalFormatting>
        <x14:conditionalFormatting xmlns:xm="http://schemas.microsoft.com/office/excel/2006/main">
          <x14:cfRule type="dataBar" id="{331bb286-4b76-4723-806c-80e38199ae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H121:H128</xm:sqref>
        </x14:conditionalFormatting>
        <x14:conditionalFormatting xmlns:xm="http://schemas.microsoft.com/office/excel/2006/main">
          <x14:cfRule type="dataBar" id="{526b86dd-2ed3-4c42-bf81-a015963a338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I121:I128</xm:sqref>
        </x14:conditionalFormatting>
        <x14:conditionalFormatting xmlns:xm="http://schemas.microsoft.com/office/excel/2006/main">
          <x14:cfRule type="dataBar" id="{f6553715-be19-4773-a9fe-8dfe76a390d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J121:J128</xm:sqref>
        </x14:conditionalFormatting>
        <x14:conditionalFormatting xmlns:xm="http://schemas.microsoft.com/office/excel/2006/main">
          <x14:cfRule type="dataBar" id="{a903f572-336c-4d72-82d2-457d4cd1fa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K121:K128</xm:sqref>
        </x14:conditionalFormatting>
        <x14:conditionalFormatting xmlns:xm="http://schemas.microsoft.com/office/excel/2006/main">
          <x14:cfRule type="dataBar" id="{534ba488-ea32-4f05-826e-1de27dff198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L121:L128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年龄</vt:lpstr>
      <vt:lpstr>新客率</vt:lpstr>
      <vt:lpstr>年龄底表</vt:lpstr>
      <vt:lpstr>男女比例</vt:lpstr>
      <vt:lpstr>有无社保</vt:lpstr>
      <vt:lpstr>给谁买</vt:lpstr>
      <vt:lpstr>城市等级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橡子茶</cp:lastModifiedBy>
  <dcterms:created xsi:type="dcterms:W3CDTF">2020-10-23T04:09:00Z</dcterms:created>
  <dcterms:modified xsi:type="dcterms:W3CDTF">2020-11-02T11:55:02Z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2052-11.1.0.9991</vt:lpwstr>
  </property>
  <property fmtid="{D5CDD505-2E9C-101B-9397-08002B2CF9AE}" pid="3" name="CWMf23557e0c87f11f18000032600000226">
    <vt:lpwstr>CWMyupYULslPxqhMCap1zhRyt3kqWSa1PTbz8S8nHf6v9DaWWk0+IgSppgX2y6VPrFAMhFD9u5JsuPsvDHFSr81TA==</vt:lpwstr>
  </property>
</Properties>
</file>