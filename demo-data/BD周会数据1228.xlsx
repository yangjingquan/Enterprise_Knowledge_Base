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activeTab="2"/>
  </bookViews>
  <sheets>
    <sheet name="BD目标" sheetId="3" r:id="rId1"/>
    <sheet name="周例会短险分渠道" sheetId="1" r:id="rId2"/>
    <sheet name="周例会赠险分渠道" sheetId="2" r:id="rId3"/>
    <sheet name="互动渠道" sheetId="8" state="hidden" r:id="rId4"/>
    <sheet name="竟品数据" sheetId="7" state="hidden" r:id="rId5"/>
    <sheet name="阶梯单价" sheetId="4" state="hidden" r:id="rId6"/>
    <sheet name="跟进进度" sheetId="6" state="hidden" r:id="rId7"/>
  </sheets>
  <externalReferences>
    <externalReference r:id="rId8"/>
    <externalReference r:id="rId9"/>
  </externalReferences>
  <definedNames>
    <definedName name="_xlnm._FilterDatabase" localSheetId="2" hidden="1">周例会赠险分渠道!$A$31:$T$46</definedName>
  </definedNames>
  <calcPr calcId="144525"/>
</workbook>
</file>

<file path=xl/sharedStrings.xml><?xml version="1.0" encoding="utf-8"?>
<sst xmlns="http://schemas.openxmlformats.org/spreadsheetml/2006/main" count="473" uniqueCount="263">
  <si>
    <t>目标</t>
  </si>
  <si>
    <t>实际完成保费</t>
  </si>
  <si>
    <t>完成率</t>
  </si>
  <si>
    <t> 短险ROI</t>
  </si>
  <si>
    <t>合计ROI</t>
  </si>
  <si>
    <t>税后消费</t>
  </si>
  <si>
    <t>短险佣金</t>
  </si>
  <si>
    <t>支付件均</t>
  </si>
  <si>
    <t>领险成本</t>
  </si>
  <si>
    <t>支付成本</t>
  </si>
  <si>
    <t>转险率</t>
  </si>
  <si>
    <t>总CVR</t>
  </si>
  <si>
    <t> 拉新率</t>
  </si>
  <si>
    <t>退保率</t>
  </si>
  <si>
    <t>取代率</t>
  </si>
  <si>
    <t>时间进度</t>
  </si>
  <si>
    <t>日均需完成</t>
  </si>
  <si>
    <t> 支付单量</t>
  </si>
  <si>
    <t>支付人数</t>
  </si>
  <si>
    <t> 拉新人数</t>
  </si>
  <si>
    <t>退保量</t>
  </si>
  <si>
    <t>取代人数</t>
  </si>
  <si>
    <t>领险人数</t>
  </si>
  <si>
    <t>赠险成本</t>
  </si>
  <si>
    <t>UV</t>
  </si>
  <si>
    <t>长险ROI</t>
  </si>
  <si>
    <t>长险佣金</t>
  </si>
  <si>
    <t>变现款</t>
  </si>
  <si>
    <t>-</t>
  </si>
  <si>
    <t>引流款</t>
  </si>
  <si>
    <t>总计</t>
  </si>
  <si>
    <t>周</t>
  </si>
  <si>
    <t>新元互动</t>
  </si>
  <si>
    <t>上海厚数</t>
  </si>
  <si>
    <t>数鸣信息</t>
  </si>
  <si>
    <t>王炸科技</t>
  </si>
  <si>
    <t>广州安如山</t>
  </si>
  <si>
    <t>巨灿科技</t>
  </si>
  <si>
    <t>新元-腾讯云</t>
  </si>
  <si>
    <t>瑞小云</t>
  </si>
  <si>
    <t>瑞鹏</t>
  </si>
  <si>
    <t>10.09-10.15</t>
  </si>
  <si>
    <t>10,16-10.22</t>
  </si>
  <si>
    <t>10.23-10.29</t>
  </si>
  <si>
    <t>10.30-11.05</t>
  </si>
  <si>
    <t>11.06-11.12</t>
  </si>
  <si>
    <t>11.13-11.19</t>
  </si>
  <si>
    <t>11.20-11.26</t>
  </si>
  <si>
    <t>11.27-12.03</t>
  </si>
  <si>
    <t>12.04-12.10</t>
  </si>
  <si>
    <t>12.11-12.17</t>
  </si>
  <si>
    <t>12.18-12.24</t>
  </si>
  <si>
    <t>环比</t>
  </si>
  <si>
    <t>二级渠道</t>
  </si>
  <si>
    <t>类型</t>
  </si>
  <si>
    <t>渠道标识</t>
  </si>
  <si>
    <t xml:space="preserve">  税后消耗</t>
  </si>
  <si>
    <t xml:space="preserve">  渠道规模保费</t>
  </si>
  <si>
    <t>短险ROI</t>
  </si>
  <si>
    <t>综合ROI</t>
  </si>
  <si>
    <t>件均</t>
  </si>
  <si>
    <t>拉新率</t>
  </si>
  <si>
    <t>保费占比</t>
  </si>
  <si>
    <t xml:space="preserve">  新用户数</t>
  </si>
  <si>
    <t xml:space="preserve">  成单单量</t>
  </si>
  <si>
    <t xml:space="preserve">  退单量</t>
  </si>
  <si>
    <t xml:space="preserve">  成单人数</t>
  </si>
  <si>
    <t xml:space="preserve">  佣金收入</t>
  </si>
  <si>
    <t>智能短信类</t>
  </si>
  <si>
    <t>BD_XYdx</t>
  </si>
  <si>
    <t>营销短信类</t>
  </si>
  <si>
    <t>BD_SMdx</t>
  </si>
  <si>
    <t>BD_WCJW</t>
  </si>
  <si>
    <t>BD_WZKJ</t>
  </si>
  <si>
    <t>菲克</t>
  </si>
  <si>
    <t>BD_FKdx</t>
  </si>
  <si>
    <t>BD_RYdx</t>
  </si>
  <si>
    <t>BD_RPKJ</t>
  </si>
  <si>
    <t>巨灿</t>
  </si>
  <si>
    <t>BD_JCdx</t>
  </si>
  <si>
    <t>合计</t>
  </si>
  <si>
    <t>撞库进度</t>
  </si>
  <si>
    <t>渠道</t>
  </si>
  <si>
    <t>是否可撞库</t>
  </si>
  <si>
    <t>11月保费（占比）</t>
  </si>
  <si>
    <t>投放状态</t>
  </si>
  <si>
    <t>保费空间</t>
  </si>
  <si>
    <t>接入状态</t>
  </si>
  <si>
    <t>原因</t>
  </si>
  <si>
    <t>数鸣</t>
  </si>
  <si>
    <t>是</t>
  </si>
  <si>
    <t>1500万（26%）</t>
  </si>
  <si>
    <t>在投</t>
  </si>
  <si>
    <t>1500-3000万</t>
  </si>
  <si>
    <t>对接完成</t>
  </si>
  <si>
    <t>——</t>
  </si>
  <si>
    <t>王炸</t>
  </si>
  <si>
    <t>260万（4%）</t>
  </si>
  <si>
    <t>500万-800万</t>
  </si>
  <si>
    <t>30万（0.5%）</t>
  </si>
  <si>
    <t>重启测试</t>
  </si>
  <si>
    <t>500万-1000万</t>
  </si>
  <si>
    <t>厚数</t>
  </si>
  <si>
    <t>否</t>
  </si>
  <si>
    <t>90万（2%）</t>
  </si>
  <si>
    <t>进入对接流程</t>
  </si>
  <si>
    <t>合规及数据安全问题</t>
  </si>
  <si>
    <t>300万（5%）</t>
  </si>
  <si>
    <t>500-1500万</t>
  </si>
  <si>
    <t>可出库数据为设备号</t>
  </si>
  <si>
    <t>370万（7%）</t>
  </si>
  <si>
    <t>测试</t>
  </si>
  <si>
    <t>500万</t>
  </si>
  <si>
    <t>运营商数据无法出库</t>
  </si>
  <si>
    <t>点击率</t>
  </si>
  <si>
    <t>文案</t>
  </si>
  <si>
    <t>数鸣（老）</t>
  </si>
  <si>
    <t>【水滴保】尾号XXXX用户，您的600万医疗保额消息已送达，请尽快查看，点击 http://z0k.cn/Fn434 过期失效，退订回T</t>
  </si>
  <si>
    <t>数鸣（新）</t>
  </si>
  <si>
    <t>【水滴保】审核通过：您XXXX账户600万医疗保障服务已成功到账！请24点前查看 http://z0k.cn/KZzVu 退订回T</t>
  </si>
  <si>
    <t>瑞鹏（老）</t>
  </si>
  <si>
    <t>【水滴保】尾号1234的用户，您的600万保额医疗险通知已成功送达，请于1小时内点击，戳XXX，退订回T</t>
  </si>
  <si>
    <t>瑞鹏（新）</t>
  </si>
  <si>
    <t>【水滴保】入账通知：账户1234已成功到账最高600万健康保障，请于24:00前确认，详情XXXX，回N取关</t>
  </si>
  <si>
    <t>同盾</t>
  </si>
  <si>
    <t>远山保</t>
  </si>
  <si>
    <t>金数据</t>
  </si>
  <si>
    <t>上量</t>
  </si>
  <si>
    <t>极光数据</t>
  </si>
  <si>
    <t>新旦</t>
  </si>
  <si>
    <t>新元</t>
  </si>
  <si>
    <t>11.28-12.04</t>
  </si>
  <si>
    <t>渠道号</t>
  </si>
  <si>
    <t>短险收益ROI</t>
  </si>
  <si>
    <t>长险收益ROI</t>
  </si>
  <si>
    <t>综合收益ROI</t>
  </si>
  <si>
    <t>取消代扣</t>
  </si>
  <si>
    <t>占比</t>
  </si>
  <si>
    <t xml:space="preserve">  领险人数</t>
  </si>
  <si>
    <t xml:space="preserve">  退保单量</t>
  </si>
  <si>
    <t xml:space="preserve">  取代人数</t>
  </si>
  <si>
    <t>代理类</t>
  </si>
  <si>
    <t>BD_TDzx</t>
  </si>
  <si>
    <t>BD_YSBzx</t>
  </si>
  <si>
    <t>问卷类</t>
  </si>
  <si>
    <t>BD_JSJzx</t>
  </si>
  <si>
    <t>快消扫码类</t>
  </si>
  <si>
    <t>BD_SLzx</t>
  </si>
  <si>
    <t>极光</t>
  </si>
  <si>
    <t>小程序</t>
  </si>
  <si>
    <t>BD_SHJGzx</t>
  </si>
  <si>
    <t>BD_XDzx</t>
  </si>
  <si>
    <t>智能短信</t>
  </si>
  <si>
    <t>BD_XYzx</t>
  </si>
  <si>
    <t>产品</t>
  </si>
  <si>
    <t>500元重疾险</t>
  </si>
  <si>
    <t>账户安全险</t>
  </si>
  <si>
    <t>权益卡</t>
  </si>
  <si>
    <t>2万重疾送手机</t>
  </si>
  <si>
    <t>异常天气险</t>
  </si>
  <si>
    <t>赠险大礼包</t>
  </si>
  <si>
    <t>渠道规模保费</t>
  </si>
  <si>
    <t>11.28-12.03</t>
  </si>
  <si>
    <t>退保取代率</t>
  </si>
  <si>
    <t>cpm</t>
  </si>
  <si>
    <t>cpc</t>
  </si>
  <si>
    <t>领险率</t>
  </si>
  <si>
    <t>ctr</t>
  </si>
  <si>
    <t>总转化率</t>
  </si>
  <si>
    <t>100万交通意外险</t>
  </si>
  <si>
    <t>赠险送手机</t>
  </si>
  <si>
    <t>下单率</t>
  </si>
  <si>
    <t>综合转化率（下单/发送成功）</t>
  </si>
  <si>
    <t>保司</t>
  </si>
  <si>
    <t>水滴-人保</t>
  </si>
  <si>
    <t>悟空保</t>
  </si>
  <si>
    <r>
      <rPr>
        <sz val="12"/>
        <color theme="1"/>
        <rFont val="宋体"/>
        <charset val="134"/>
      </rPr>
      <t>【医疗险】</t>
    </r>
    <r>
      <rPr>
        <sz val="12"/>
        <color rgb="FFFF0000"/>
        <rFont val="宋体"/>
        <charset val="134"/>
      </rPr>
      <t>请核对</t>
    </r>
    <r>
      <rPr>
        <sz val="12"/>
        <color theme="1"/>
        <rFont val="宋体"/>
        <charset val="134"/>
      </rPr>
      <t>：您的3750</t>
    </r>
    <r>
      <rPr>
        <sz val="12"/>
        <color rgb="FFFF0000"/>
        <rFont val="宋体"/>
        <charset val="134"/>
      </rPr>
      <t>账户</t>
    </r>
    <r>
      <rPr>
        <sz val="12"/>
        <color theme="1"/>
        <rFont val="宋体"/>
        <charset val="134"/>
      </rPr>
      <t xml:space="preserve">600万医疗险已到达！请1小时内查看 89dt.cn/hV </t>
    </r>
    <r>
      <rPr>
        <sz val="12"/>
        <color rgb="FFFF0000"/>
        <rFont val="宋体"/>
        <charset val="134"/>
      </rPr>
      <t>过期作废</t>
    </r>
    <r>
      <rPr>
        <sz val="12"/>
        <color theme="1"/>
        <rFont val="宋体"/>
        <charset val="134"/>
      </rPr>
      <t>！退订回T</t>
    </r>
  </si>
  <si>
    <t>度小满-人保</t>
  </si>
  <si>
    <t>众安</t>
  </si>
  <si>
    <t>【众安保险】@亲，您的最高600万保额医疗险已送达，请于1小时内查看 https://i.zhongan.com/vLVCLQ  退订回T</t>
  </si>
  <si>
    <t>悟空保-泰康</t>
  </si>
  <si>
    <r>
      <rPr>
        <sz val="12"/>
        <color theme="1"/>
        <rFont val="宋体"/>
        <charset val="134"/>
      </rPr>
      <t>【众安保险】</t>
    </r>
    <r>
      <rPr>
        <sz val="12"/>
        <color rgb="FFFF0000"/>
        <rFont val="宋体"/>
        <charset val="134"/>
      </rPr>
      <t>请您核对订单信息</t>
    </r>
    <r>
      <rPr>
        <sz val="12"/>
        <color theme="1"/>
        <rFont val="宋体"/>
        <charset val="134"/>
      </rPr>
      <t>：您的2268账户600万保额医疗险已到达！请1小时内查看，XXXX退订回T</t>
    </r>
  </si>
  <si>
    <t>悟空保-华泰</t>
  </si>
  <si>
    <t>泰康</t>
  </si>
  <si>
    <r>
      <rPr>
        <sz val="12"/>
        <color theme="1"/>
        <rFont val="宋体"/>
        <charset val="134"/>
      </rPr>
      <t>【泰康保险】请核对：您的4746账户600万医疗险已到达！请1小时内查看。XXX</t>
    </r>
    <r>
      <rPr>
        <sz val="12"/>
        <color rgb="FFFF0000"/>
        <rFont val="宋体"/>
        <charset val="134"/>
      </rPr>
      <t>过期作废</t>
    </r>
    <r>
      <rPr>
        <sz val="12"/>
        <color theme="1"/>
        <rFont val="宋体"/>
        <charset val="134"/>
      </rPr>
      <t>！退订回T</t>
    </r>
  </si>
  <si>
    <t>星火保-太平</t>
  </si>
  <si>
    <t>星火保</t>
  </si>
  <si>
    <r>
      <rPr>
        <sz val="12"/>
        <color theme="1"/>
        <rFont val="宋体"/>
        <charset val="134"/>
      </rPr>
      <t>【太平保险】</t>
    </r>
    <r>
      <rPr>
        <sz val="12"/>
        <color rgb="FFFF0000"/>
        <rFont val="宋体"/>
        <charset val="134"/>
      </rPr>
      <t>请核对</t>
    </r>
    <r>
      <rPr>
        <sz val="12"/>
        <color theme="1"/>
        <rFont val="宋体"/>
        <charset val="134"/>
      </rPr>
      <t>！用户2268您600万医疗险已到达！今天24:00前</t>
    </r>
    <r>
      <rPr>
        <sz val="12"/>
        <color rgb="FFFF0000"/>
        <rFont val="宋体"/>
        <charset val="134"/>
      </rPr>
      <t>不领自动作废</t>
    </r>
    <r>
      <rPr>
        <sz val="12"/>
        <color theme="1"/>
        <rFont val="宋体"/>
        <charset val="134"/>
      </rPr>
      <t>。戳XXX立即查看！</t>
    </r>
  </si>
  <si>
    <t>度小满</t>
  </si>
  <si>
    <t>【中国人保】请您核对信息：您的0726账户600万保额医疗险已到达！请1小时内查看XXXXXX，过期作废，退订回T</t>
  </si>
  <si>
    <t>360保险</t>
  </si>
  <si>
    <t>水滴-安心</t>
  </si>
  <si>
    <t>水滴-太平</t>
  </si>
  <si>
    <t>守护保-大地</t>
  </si>
  <si>
    <t>XX保险</t>
  </si>
  <si>
    <t>水滴</t>
  </si>
  <si>
    <t>【水滴保】您XX账号，最高600万保额消息已成功送达！24点前点击url过期失效， 退订回T</t>
  </si>
  <si>
    <t>【水滴保】尾号XX用户，您最高600万保额医疗险消息已于8月23日通知！请立即点击查看过期失效 ，退订回T</t>
  </si>
  <si>
    <t>【水滴保】通知，您最高600万保额医疗险消息已于今日送达！请立即点击查看XX过期失效 ，退订回T</t>
  </si>
  <si>
    <t>【水滴保】尾号[(B)]用户，您的600万医疗保额消息已送达，请尽快查看，点击XX过期失效，退订回T</t>
  </si>
  <si>
    <t>【水滴保】您的保障信息已到：最高600万重疾医疗保障，责任内看病住院可报销，速戳xxx查看。退回复T</t>
  </si>
  <si>
    <t>【水滴保】请您查看信息：您的XXXX账户最高600万保额医疗险消息已投递！请1小时内查看url 退订回T</t>
  </si>
  <si>
    <r>
      <rPr>
        <sz val="12"/>
        <rFont val="宋体"/>
        <charset val="134"/>
      </rPr>
      <t>【水滴保】尾号XX用户，您的600万保额医疗险通知</t>
    </r>
    <r>
      <rPr>
        <sz val="12"/>
        <rFont val="等线"/>
        <charset val="134"/>
      </rPr>
      <t>已成功</t>
    </r>
    <r>
      <rPr>
        <sz val="12"/>
        <rFont val="宋体"/>
        <charset val="134"/>
      </rPr>
      <t>送达</t>
    </r>
    <r>
      <rPr>
        <sz val="12"/>
        <rFont val="等线"/>
        <charset val="134"/>
      </rPr>
      <t>，请于1小时内点击，戳 XX 退订回T</t>
    </r>
  </si>
  <si>
    <t>【水滴保】温馨提示，您的最高600万保额医疗险信息已备好，请于24小时内戳XX，退订回T</t>
  </si>
  <si>
    <t>【水滴保】您有一份终生保险定制服务待查看，请尽快点击http://9oj.cn/44oB3 退订回T</t>
  </si>
  <si>
    <t>【水滴保】通知：您的8201账号已成功到达一份终生保险定制服务信息，戳xxx过期失效，退订回T</t>
  </si>
  <si>
    <t>定价标准</t>
  </si>
  <si>
    <t>结算方式</t>
  </si>
  <si>
    <t>核减标准</t>
  </si>
  <si>
    <t>预期收益</t>
  </si>
  <si>
    <t>备注</t>
  </si>
  <si>
    <t>单价</t>
  </si>
  <si>
    <t>11月阶梯量级</t>
  </si>
  <si>
    <t>M+1结算80% 
M+3结算20%
（考核二期续费率80%，三期续费率以当期大盘均值为准：参考值68%-70%）</t>
  </si>
  <si>
    <t>核减金额=单价*当月结算单量*（80%-二期续费率+大盘均值-三期续费率）</t>
  </si>
  <si>
    <t>预估新增保费1,600万，预估达成7,500万 ，由日均200万提升至300万保费，综合ROI由2.05降低至1.75</t>
  </si>
  <si>
    <t>因政策调整时间已近月中，部分渠道难以追满阶梯，申请从开始投放之日起至月末，日均达到对应阶梯水平，即按对应阶梯单价结算。</t>
  </si>
  <si>
    <t>0-3,000</t>
  </si>
  <si>
    <t>3,001-6,000</t>
  </si>
  <si>
    <t>6,000-10,000</t>
  </si>
  <si>
    <t>10,001-15,000</t>
  </si>
  <si>
    <t>15,000以上</t>
  </si>
  <si>
    <t>500元重疾7.5元/CPA 
 账户安全险7.5元/CPA</t>
  </si>
  <si>
    <t>次月结算100%（负向指标正常）</t>
  </si>
  <si>
    <t>核减规则：按子渠道维度评估</t>
  </si>
  <si>
    <t>保费日均提升15万，全月增长180万，综合ROI  1.1</t>
  </si>
  <si>
    <t>负向指标=当日退保率+当日取代率（参考值8%）</t>
  </si>
  <si>
    <t>1） 子渠道当日负向指标≤8%，正常结算</t>
  </si>
  <si>
    <r>
      <rPr>
        <sz val="10"/>
        <color theme="1"/>
        <rFont val="宋体"/>
        <charset val="134"/>
      </rPr>
      <t>2）子渠道12%≥当日负向指标＞8%时 ，结算金额=总单量*(</t>
    </r>
    <r>
      <rPr>
        <sz val="10"/>
        <color rgb="FFFF0000"/>
        <rFont val="宋体"/>
        <charset val="134"/>
      </rPr>
      <t>1-(负向指标-8%</t>
    </r>
    <r>
      <rPr>
        <sz val="10"/>
        <color theme="1"/>
        <rFont val="宋体"/>
        <charset val="134"/>
      </rPr>
      <t>)）*单价  结算；</t>
    </r>
  </si>
  <si>
    <t>3）子渠道当日负向指标＞12%时，该子渠道当月全部数据不予结算。</t>
  </si>
  <si>
    <t>目前跟进情况（数量）</t>
  </si>
  <si>
    <t>行业</t>
  </si>
  <si>
    <t>已沟通
（渠道数）</t>
  </si>
  <si>
    <t>暂不考虑合作</t>
  </si>
  <si>
    <t>可跟进</t>
  </si>
  <si>
    <t>待测试/测试中</t>
  </si>
  <si>
    <t>已合作</t>
  </si>
  <si>
    <t>已沟通</t>
  </si>
  <si>
    <t>暂不考虑</t>
  </si>
  <si>
    <t>旅游出行</t>
  </si>
  <si>
    <t>工具服务</t>
  </si>
  <si>
    <t>学习教育</t>
  </si>
  <si>
    <t>汽车服务</t>
  </si>
  <si>
    <t>电子商务</t>
  </si>
  <si>
    <t>金融理财</t>
  </si>
  <si>
    <t>社交网络</t>
  </si>
  <si>
    <t>医疗健康</t>
  </si>
  <si>
    <t>社区服务</t>
  </si>
  <si>
    <t>代理渠道</t>
  </si>
  <si>
    <t>不考虑合作</t>
  </si>
  <si>
    <t>可跟进分类</t>
  </si>
  <si>
    <t>数量</t>
  </si>
  <si>
    <t>不接保险类产品</t>
  </si>
  <si>
    <t>需要内部推进</t>
  </si>
  <si>
    <t>不做商业化变现</t>
  </si>
  <si>
    <t>CPC结算</t>
  </si>
  <si>
    <t>只与保司合作</t>
  </si>
  <si>
    <t>CPM/CPT结算</t>
  </si>
  <si>
    <t>数据回传问题</t>
  </si>
  <si>
    <t>流量置换</t>
  </si>
  <si>
    <t>不支持微信支付</t>
  </si>
  <si>
    <t>待沟通细节</t>
  </si>
  <si>
    <t>测过保险但转化差</t>
  </si>
</sst>
</file>

<file path=xl/styles.xml><?xml version="1.0" encoding="utf-8"?>
<styleSheet xmlns="http://schemas.openxmlformats.org/spreadsheetml/2006/main">
  <numFmts count="11">
    <numFmt numFmtId="176" formatCode="_ * #,##0_ ;_ * \-#,##0_ ;_ * &quot;-&quot;??_ ;_ @_ "/>
    <numFmt numFmtId="41" formatCode="_ * #,##0_ ;_ * \-#,##0_ ;_ * &quot;-&quot;_ ;_ @_ "/>
    <numFmt numFmtId="177" formatCode="0.0000%"/>
    <numFmt numFmtId="178" formatCode="0.00_);[Red]\(0.00\)"/>
    <numFmt numFmtId="179" formatCode="0.0%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80" formatCode="_ * #,##0.0_ ;_ * \-#,##0.0_ ;_ * &quot;-&quot;??_ ;_ @_ "/>
    <numFmt numFmtId="43" formatCode="_ * #,##0.00_ ;_ * \-#,##0.00_ ;_ * &quot;-&quot;??_ ;_ @_ "/>
    <numFmt numFmtId="181" formatCode="0_);[Red]\(0\)"/>
    <numFmt numFmtId="182" formatCode="#,##0_ "/>
  </numFmts>
  <fonts count="44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theme="0" tint="-0.349986266670736"/>
      <name val="微软雅黑"/>
      <charset val="134"/>
    </font>
    <font>
      <sz val="12"/>
      <name val="宋体"/>
      <charset val="134"/>
    </font>
    <font>
      <b/>
      <sz val="10"/>
      <name val="微软雅黑"/>
      <charset val="134"/>
    </font>
    <font>
      <sz val="10"/>
      <color theme="0"/>
      <name val="微软雅黑"/>
      <charset val="134"/>
    </font>
    <font>
      <b/>
      <sz val="10"/>
      <color theme="0" tint="-0.349986266670736"/>
      <name val="微软雅黑"/>
      <charset val="134"/>
    </font>
    <font>
      <sz val="12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2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7" fillId="13" borderId="10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11" borderId="9" applyNumberFormat="0" applyFont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8" fillId="12" borderId="12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33" fillId="24" borderId="13" applyNumberFormat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1" xfId="1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9" fontId="1" fillId="5" borderId="1" xfId="1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9" fontId="2" fillId="2" borderId="0" xfId="1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10" fontId="10" fillId="0" borderId="0" xfId="0" applyNumberFormat="1" applyFont="1" applyFill="1" applyAlignment="1">
      <alignment vertical="center"/>
    </xf>
    <xf numFmtId="177" fontId="10" fillId="0" borderId="0" xfId="0" applyNumberFormat="1" applyFont="1" applyFill="1" applyAlignment="1">
      <alignment horizontal="center" vertical="center"/>
    </xf>
    <xf numFmtId="10" fontId="7" fillId="0" borderId="0" xfId="0" applyNumberFormat="1" applyFont="1" applyFill="1" applyAlignment="1">
      <alignment vertical="center"/>
    </xf>
    <xf numFmtId="177" fontId="7" fillId="0" borderId="0" xfId="0" applyNumberFormat="1" applyFont="1" applyFill="1" applyAlignment="1">
      <alignment horizontal="center" vertical="center"/>
    </xf>
    <xf numFmtId="10" fontId="7" fillId="0" borderId="0" xfId="11" applyNumberFormat="1" applyFont="1" applyFill="1" applyAlignment="1">
      <alignment vertical="center"/>
    </xf>
    <xf numFmtId="177" fontId="11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vertical="center" wrapText="1"/>
    </xf>
    <xf numFmtId="0" fontId="12" fillId="0" borderId="0" xfId="0" applyFont="1">
      <alignment vertical="center"/>
    </xf>
    <xf numFmtId="43" fontId="12" fillId="0" borderId="0" xfId="8" applyFont="1">
      <alignment vertical="center"/>
    </xf>
    <xf numFmtId="176" fontId="12" fillId="0" borderId="0" xfId="8" applyNumberFormat="1" applyFont="1">
      <alignment vertical="center"/>
    </xf>
    <xf numFmtId="180" fontId="12" fillId="0" borderId="0" xfId="8" applyNumberFormat="1" applyFont="1">
      <alignment vertical="center"/>
    </xf>
    <xf numFmtId="179" fontId="12" fillId="0" borderId="0" xfId="11" applyNumberFormat="1" applyFont="1">
      <alignment vertical="center"/>
    </xf>
    <xf numFmtId="9" fontId="12" fillId="0" borderId="0" xfId="11" applyFont="1">
      <alignment vertical="center"/>
    </xf>
    <xf numFmtId="10" fontId="12" fillId="0" borderId="0" xfId="11" applyNumberFormat="1" applyFont="1">
      <alignment vertical="center"/>
    </xf>
    <xf numFmtId="0" fontId="13" fillId="6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9" fontId="14" fillId="0" borderId="0" xfId="11" applyFont="1">
      <alignment vertical="center"/>
    </xf>
    <xf numFmtId="43" fontId="13" fillId="6" borderId="0" xfId="8" applyFont="1" applyFill="1" applyAlignment="1">
      <alignment horizontal="center" vertical="center"/>
    </xf>
    <xf numFmtId="176" fontId="13" fillId="6" borderId="0" xfId="8" applyNumberFormat="1" applyFont="1" applyFill="1" applyAlignment="1">
      <alignment horizontal="center" vertical="center"/>
    </xf>
    <xf numFmtId="180" fontId="13" fillId="6" borderId="0" xfId="8" applyNumberFormat="1" applyFont="1" applyFill="1" applyAlignment="1">
      <alignment horizontal="center" vertical="center"/>
    </xf>
    <xf numFmtId="176" fontId="15" fillId="0" borderId="0" xfId="8" applyNumberFormat="1" applyFont="1">
      <alignment vertical="center"/>
    </xf>
    <xf numFmtId="179" fontId="13" fillId="6" borderId="0" xfId="11" applyNumberFormat="1" applyFont="1" applyFill="1" applyAlignment="1">
      <alignment horizontal="center" vertical="center"/>
    </xf>
    <xf numFmtId="9" fontId="13" fillId="6" borderId="0" xfId="11" applyFont="1" applyFill="1" applyAlignment="1">
      <alignment horizontal="center" vertical="center"/>
    </xf>
    <xf numFmtId="10" fontId="13" fillId="6" borderId="0" xfId="11" applyNumberFormat="1" applyFont="1" applyFill="1" applyAlignment="1">
      <alignment horizontal="center" vertical="center"/>
    </xf>
    <xf numFmtId="179" fontId="15" fillId="0" borderId="0" xfId="11" applyNumberFormat="1" applyFont="1">
      <alignment vertical="center"/>
    </xf>
    <xf numFmtId="0" fontId="12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176" fontId="12" fillId="0" borderId="0" xfId="8" applyNumberFormat="1" applyFont="1" applyAlignment="1">
      <alignment horizontal="center" vertical="center"/>
    </xf>
    <xf numFmtId="176" fontId="12" fillId="0" borderId="0" xfId="8" applyNumberFormat="1" applyFont="1" applyAlignment="1">
      <alignment vertical="center"/>
    </xf>
    <xf numFmtId="38" fontId="12" fillId="0" borderId="0" xfId="0" applyNumberFormat="1" applyFont="1" applyAlignment="1">
      <alignment horizontal="center" vertical="center"/>
    </xf>
    <xf numFmtId="176" fontId="12" fillId="0" borderId="0" xfId="8" applyNumberFormat="1" applyFont="1" applyAlignment="1">
      <alignment horizontal="right" vertical="center"/>
    </xf>
    <xf numFmtId="182" fontId="12" fillId="0" borderId="0" xfId="8" applyNumberFormat="1" applyFont="1">
      <alignment vertical="center"/>
    </xf>
    <xf numFmtId="0" fontId="14" fillId="0" borderId="0" xfId="0" applyFont="1" applyAlignment="1">
      <alignment horizontal="center" vertical="center"/>
    </xf>
    <xf numFmtId="0" fontId="1" fillId="2" borderId="0" xfId="0" applyFont="1" applyFill="1" applyBorder="1">
      <alignment vertical="center"/>
    </xf>
    <xf numFmtId="182" fontId="12" fillId="0" borderId="0" xfId="8" applyNumberFormat="1" applyFont="1" applyAlignment="1">
      <alignment horizontal="center" vertical="center"/>
    </xf>
    <xf numFmtId="178" fontId="1" fillId="2" borderId="0" xfId="8" applyNumberFormat="1" applyFont="1" applyFill="1" applyBorder="1" applyAlignment="1">
      <alignment horizontal="center" vertical="center"/>
    </xf>
    <xf numFmtId="43" fontId="12" fillId="0" borderId="0" xfId="8" applyFont="1" applyAlignment="1">
      <alignment vertical="center"/>
    </xf>
    <xf numFmtId="178" fontId="14" fillId="2" borderId="0" xfId="8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181" fontId="1" fillId="2" borderId="0" xfId="8" applyNumberFormat="1" applyFont="1" applyFill="1" applyBorder="1" applyAlignment="1">
      <alignment horizontal="center" vertical="center"/>
    </xf>
    <xf numFmtId="179" fontId="1" fillId="2" borderId="0" xfId="11" applyNumberFormat="1" applyFont="1" applyFill="1" applyBorder="1" applyAlignment="1">
      <alignment horizontal="center" vertical="center"/>
    </xf>
    <xf numFmtId="43" fontId="12" fillId="0" borderId="0" xfId="8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9" fontId="1" fillId="2" borderId="0" xfId="11" applyFont="1" applyFill="1" applyBorder="1" applyAlignment="1">
      <alignment horizontal="center" vertical="center"/>
    </xf>
    <xf numFmtId="9" fontId="1" fillId="2" borderId="0" xfId="11" applyFont="1" applyFill="1">
      <alignment vertical="center"/>
    </xf>
    <xf numFmtId="182" fontId="12" fillId="7" borderId="0" xfId="8" applyNumberFormat="1" applyFont="1" applyFill="1">
      <alignment vertical="center"/>
    </xf>
    <xf numFmtId="182" fontId="12" fillId="7" borderId="0" xfId="8" applyNumberFormat="1" applyFont="1" applyFill="1" applyAlignment="1">
      <alignment vertical="center"/>
    </xf>
    <xf numFmtId="182" fontId="12" fillId="7" borderId="0" xfId="8" applyNumberFormat="1" applyFont="1" applyFill="1" applyAlignment="1">
      <alignment horizontal="center" vertical="center"/>
    </xf>
    <xf numFmtId="176" fontId="12" fillId="7" borderId="0" xfId="8" applyNumberFormat="1" applyFont="1" applyFill="1">
      <alignment vertical="center"/>
    </xf>
    <xf numFmtId="176" fontId="12" fillId="7" borderId="0" xfId="8" applyNumberFormat="1" applyFont="1" applyFill="1" applyAlignment="1">
      <alignment vertical="center"/>
    </xf>
    <xf numFmtId="176" fontId="1" fillId="2" borderId="0" xfId="8" applyNumberFormat="1" applyFont="1" applyFill="1" applyBorder="1" applyAlignment="1">
      <alignment horizontal="center" vertical="center"/>
    </xf>
    <xf numFmtId="9" fontId="12" fillId="0" borderId="0" xfId="0" applyNumberFormat="1" applyFont="1">
      <alignment vertical="center"/>
    </xf>
    <xf numFmtId="0" fontId="13" fillId="0" borderId="0" xfId="0" applyFont="1">
      <alignment vertical="center"/>
    </xf>
    <xf numFmtId="0" fontId="12" fillId="0" borderId="0" xfId="0" applyFont="1" applyFill="1">
      <alignment vertical="center"/>
    </xf>
    <xf numFmtId="0" fontId="1" fillId="0" borderId="0" xfId="0" applyFont="1">
      <alignment vertical="center"/>
    </xf>
    <xf numFmtId="0" fontId="12" fillId="0" borderId="0" xfId="8" applyNumberFormat="1" applyFont="1">
      <alignment vertical="center"/>
    </xf>
    <xf numFmtId="43" fontId="14" fillId="0" borderId="0" xfId="8" applyFont="1" applyAlignment="1">
      <alignment horizontal="center" vertical="center"/>
    </xf>
    <xf numFmtId="182" fontId="12" fillId="0" borderId="0" xfId="8" applyNumberFormat="1" applyFont="1" applyFill="1" applyAlignment="1">
      <alignment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179" fontId="12" fillId="0" borderId="1" xfId="11" applyNumberFormat="1" applyFont="1" applyBorder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179" fontId="14" fillId="0" borderId="1" xfId="11" applyNumberFormat="1" applyFont="1" applyBorder="1" applyAlignment="1">
      <alignment horizontal="right" vertical="center"/>
    </xf>
    <xf numFmtId="179" fontId="1" fillId="0" borderId="0" xfId="11" applyNumberFormat="1" applyFont="1">
      <alignment vertical="center"/>
    </xf>
    <xf numFmtId="9" fontId="12" fillId="0" borderId="0" xfId="11" applyFont="1" applyFill="1">
      <alignment vertical="center"/>
    </xf>
    <xf numFmtId="0" fontId="12" fillId="7" borderId="0" xfId="8" applyNumberFormat="1" applyFont="1" applyFill="1">
      <alignment vertical="center"/>
    </xf>
    <xf numFmtId="176" fontId="12" fillId="0" borderId="0" xfId="8" applyNumberFormat="1" applyFont="1" applyFill="1" applyAlignment="1">
      <alignment horizontal="center" vertical="center"/>
    </xf>
    <xf numFmtId="179" fontId="1" fillId="0" borderId="0" xfId="11" applyNumberFormat="1" applyFont="1" applyFill="1">
      <alignment vertical="center"/>
    </xf>
    <xf numFmtId="9" fontId="13" fillId="0" borderId="0" xfId="0" applyNumberFormat="1" applyFont="1">
      <alignment vertical="center"/>
    </xf>
    <xf numFmtId="182" fontId="12" fillId="0" borderId="0" xfId="0" applyNumberFormat="1" applyFont="1">
      <alignment vertical="center"/>
    </xf>
    <xf numFmtId="0" fontId="17" fillId="10" borderId="1" xfId="0" applyFont="1" applyFill="1" applyBorder="1" applyAlignment="1">
      <alignment horizontal="center" vertical="center"/>
    </xf>
    <xf numFmtId="176" fontId="17" fillId="10" borderId="1" xfId="8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8" applyNumberFormat="1" applyFont="1" applyBorder="1" applyAlignment="1">
      <alignment horizontal="center" vertical="center"/>
    </xf>
    <xf numFmtId="9" fontId="18" fillId="0" borderId="1" xfId="11" applyNumberFormat="1" applyFont="1" applyBorder="1" applyAlignment="1">
      <alignment horizontal="center" vertical="center"/>
    </xf>
    <xf numFmtId="43" fontId="19" fillId="0" borderId="1" xfId="8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17" fillId="10" borderId="5" xfId="8" applyNumberFormat="1" applyFont="1" applyFill="1" applyBorder="1" applyAlignment="1">
      <alignment horizontal="center" vertical="center"/>
    </xf>
    <xf numFmtId="179" fontId="0" fillId="0" borderId="1" xfId="11" applyNumberFormat="1" applyFont="1" applyBorder="1" applyAlignment="1">
      <alignment horizontal="center" vertical="center"/>
    </xf>
    <xf numFmtId="10" fontId="0" fillId="0" borderId="1" xfId="11" applyNumberFormat="1" applyFont="1" applyBorder="1" applyAlignment="1">
      <alignment horizontal="center" vertical="center"/>
    </xf>
    <xf numFmtId="9" fontId="0" fillId="0" borderId="1" xfId="11" applyFont="1" applyBorder="1" applyAlignment="1">
      <alignment horizontal="center" vertical="center"/>
    </xf>
    <xf numFmtId="0" fontId="0" fillId="0" borderId="1" xfId="11" applyNumberFormat="1" applyFont="1" applyBorder="1" applyAlignment="1">
      <alignment horizontal="center" vertical="center"/>
    </xf>
    <xf numFmtId="176" fontId="18" fillId="0" borderId="1" xfId="8" applyNumberFormat="1" applyFont="1" applyBorder="1" applyAlignment="1">
      <alignment horizontal="center" vertical="center"/>
    </xf>
    <xf numFmtId="176" fontId="0" fillId="0" borderId="1" xfId="8" applyNumberFormat="1" applyFont="1" applyBorder="1">
      <alignment vertical="center"/>
    </xf>
    <xf numFmtId="9" fontId="0" fillId="0" borderId="1" xfId="11" applyNumberFormat="1" applyFont="1" applyBorder="1" applyAlignment="1">
      <alignment horizontal="center" vertical="center"/>
    </xf>
    <xf numFmtId="176" fontId="0" fillId="0" borderId="1" xfId="8" applyNumberFormat="1" applyFont="1" applyFill="1" applyBorder="1" applyAlignment="1">
      <alignment horizontal="center" vertical="center"/>
    </xf>
    <xf numFmtId="43" fontId="0" fillId="0" borderId="1" xfId="8" applyFont="1" applyBorder="1">
      <alignment vertical="center"/>
    </xf>
    <xf numFmtId="43" fontId="0" fillId="0" borderId="1" xfId="8" applyNumberFormat="1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chemeClr val="accent5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所有渠道跟进情况</a:t>
            </a:r>
            <a:endParaRPr sz="1400" b="1" i="0" u="none" strike="noStrike" baseline="0">
              <a:solidFill>
                <a:schemeClr val="accent5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>
        <c:manualLayout>
          <c:xMode val="edge"/>
          <c:yMode val="edge"/>
          <c:x val="0.289869281045752"/>
          <c:y val="0.03947368421052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4411764705882"/>
          <c:y val="0.267171052631579"/>
          <c:w val="0.511176470588235"/>
          <c:h val="0.686052631578947"/>
        </c:manualLayout>
      </c:layout>
      <c:doughnutChart>
        <c:varyColors val="1"/>
        <c:ser>
          <c:idx val="0"/>
          <c:order val="0"/>
          <c:tx>
            <c:strRef>
              <c:f>跟进进度!$AC$2</c:f>
              <c:strCache>
                <c:ptCount val="1"/>
                <c:pt idx="0">
                  <c:v>合计</c:v>
                </c:pt>
              </c:strCache>
            </c:strRef>
          </c:tx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61764705882353"/>
                  <c:y val="0.015350877192982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43790849673203"/>
                  <c:y val="-0.046052631578947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97712418300654"/>
                  <c:y val="-0.096491228070175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19281045751634"/>
                  <c:y val="-0.076754385964912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跟进进度!$AB$3:$AB$6</c:f>
              <c:strCache>
                <c:ptCount val="4"/>
                <c:pt idx="0">
                  <c:v>暂不考虑合作</c:v>
                </c:pt>
                <c:pt idx="1">
                  <c:v>可跟进</c:v>
                </c:pt>
                <c:pt idx="2">
                  <c:v>待测试/测试中</c:v>
                </c:pt>
                <c:pt idx="3">
                  <c:v>已合作</c:v>
                </c:pt>
              </c:strCache>
            </c:strRef>
          </c:cat>
          <c:val>
            <c:numRef>
              <c:f>跟进进度!$AC$3:$AC$6</c:f>
              <c:numCache>
                <c:formatCode>0%</c:formatCode>
                <c:ptCount val="4"/>
                <c:pt idx="0">
                  <c:v>0.615384615384615</c:v>
                </c:pt>
                <c:pt idx="1">
                  <c:v>0.307692307692308</c:v>
                </c:pt>
                <c:pt idx="2">
                  <c:v>0.0615384615384615</c:v>
                </c:pt>
                <c:pt idx="3">
                  <c:v>0.0153846153846154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altLang="en-US" b="1">
                <a:solidFill>
                  <a:schemeClr val="accent5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暂不考虑合作原因</a:t>
            </a:r>
            <a:endParaRPr lang="en-US" altLang="zh-CN" sz="1400" b="1" i="0" u="none" strike="noStrike" baseline="0">
              <a:solidFill>
                <a:schemeClr val="accent5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>
        <c:manualLayout>
          <c:xMode val="edge"/>
          <c:yMode val="edge"/>
          <c:x val="0.336666666666667"/>
          <c:y val="0.0254629629629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5424200278164"/>
          <c:y val="0.252978595719144"/>
          <c:w val="0.543149435944985"/>
          <c:h val="0.703084616923385"/>
        </c:manualLayout>
      </c:layout>
      <c:doughnutChart>
        <c:varyColors val="1"/>
        <c:ser>
          <c:idx val="0"/>
          <c:order val="0"/>
          <c:tx>
            <c:strRef>
              <c:f>跟进进度!$V$18</c:f>
              <c:strCache>
                <c:ptCount val="1"/>
                <c:pt idx="0">
                  <c:v>占比</c:v>
                </c:pt>
              </c:strCache>
            </c:strRef>
          </c:tx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explosion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explosion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56065062051717"/>
                  <c:y val="-0.036007201440288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219440581053933"/>
                  <c:y val="0.0080016003200640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83897388348014"/>
                  <c:y val="-0.02600520104020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57626332869726"/>
                  <c:y val="-0.064012802560512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208623087621697"/>
                  <c:y val="-0.1400280056011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111265646731572"/>
                  <c:y val="-0.1300260052010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跟进进度!$U$19:$U$24</c:f>
              <c:strCache>
                <c:ptCount val="6"/>
                <c:pt idx="0">
                  <c:v>不接保险类产品</c:v>
                </c:pt>
                <c:pt idx="1">
                  <c:v>不做商业化变现</c:v>
                </c:pt>
                <c:pt idx="2">
                  <c:v>只与保司合作</c:v>
                </c:pt>
                <c:pt idx="3">
                  <c:v>数据回传问题</c:v>
                </c:pt>
                <c:pt idx="4">
                  <c:v>不支持微信支付</c:v>
                </c:pt>
                <c:pt idx="5">
                  <c:v>测过保险但转化差</c:v>
                </c:pt>
              </c:strCache>
            </c:strRef>
          </c:cat>
          <c:val>
            <c:numRef>
              <c:f>跟进进度!$V$19:$V$24</c:f>
              <c:numCache>
                <c:formatCode>0%</c:formatCode>
                <c:ptCount val="6"/>
                <c:pt idx="0">
                  <c:v>0.425</c:v>
                </c:pt>
                <c:pt idx="1">
                  <c:v>0.275</c:v>
                </c:pt>
                <c:pt idx="2">
                  <c:v>0.15</c:v>
                </c:pt>
                <c:pt idx="3">
                  <c:v>0.05</c:v>
                </c:pt>
                <c:pt idx="4">
                  <c:v>0.025</c:v>
                </c:pt>
                <c:pt idx="5">
                  <c:v>0.075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altLang="en-US" b="1">
                <a:solidFill>
                  <a:schemeClr val="accent5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可跟进情况</a:t>
            </a:r>
            <a:endParaRPr lang="en-US" altLang="zh-CN" sz="1400" b="1" i="0" u="none" strike="noStrike" baseline="0">
              <a:solidFill>
                <a:schemeClr val="accent5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跟进进度!$Z$18</c:f>
              <c:strCache>
                <c:ptCount val="1"/>
                <c:pt idx="0">
                  <c:v>占比</c:v>
                </c:pt>
              </c:strCache>
            </c:strRef>
          </c:tx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explosion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21212121212121"/>
                  <c:y val="-0.16901408450704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25757575757576"/>
                  <c:y val="0.092555331991951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63636363636364"/>
                  <c:y val="0.014084507042253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984848484848485"/>
                  <c:y val="-0.056338028169014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45454545454545"/>
                  <c:y val="-0.058350100603621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ysClr val="windowText" lastClr="000000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跟进进度!$Y$19:$Y$23</c:f>
              <c:strCache>
                <c:ptCount val="5"/>
                <c:pt idx="0">
                  <c:v>需要内部推进</c:v>
                </c:pt>
                <c:pt idx="1">
                  <c:v>CPC结算</c:v>
                </c:pt>
                <c:pt idx="2">
                  <c:v>CPM/CPT结算</c:v>
                </c:pt>
                <c:pt idx="3">
                  <c:v>流量置换</c:v>
                </c:pt>
                <c:pt idx="4">
                  <c:v>待沟通细节</c:v>
                </c:pt>
              </c:strCache>
            </c:strRef>
          </c:cat>
          <c:val>
            <c:numRef>
              <c:f>跟进进度!$Z$19:$Z$23</c:f>
              <c:numCache>
                <c:formatCode>0%</c:formatCode>
                <c:ptCount val="5"/>
                <c:pt idx="0">
                  <c:v>0.3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384810</xdr:colOff>
      <xdr:row>0</xdr:row>
      <xdr:rowOff>190500</xdr:rowOff>
    </xdr:from>
    <xdr:to>
      <xdr:col>13</xdr:col>
      <xdr:colOff>171450</xdr:colOff>
      <xdr:row>14</xdr:row>
      <xdr:rowOff>0</xdr:rowOff>
    </xdr:to>
    <xdr:graphicFrame>
      <xdr:nvGraphicFramePr>
        <xdr:cNvPr id="2" name="图表 1"/>
        <xdr:cNvGraphicFramePr/>
      </xdr:nvGraphicFramePr>
      <xdr:xfrm>
        <a:off x="5624195" y="190500"/>
        <a:ext cx="3848100" cy="315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12065</xdr:colOff>
      <xdr:row>15</xdr:row>
      <xdr:rowOff>120650</xdr:rowOff>
    </xdr:from>
    <xdr:to>
      <xdr:col>5</xdr:col>
      <xdr:colOff>764540</xdr:colOff>
      <xdr:row>32</xdr:row>
      <xdr:rowOff>164465</xdr:rowOff>
    </xdr:to>
    <xdr:graphicFrame>
      <xdr:nvGraphicFramePr>
        <xdr:cNvPr id="3" name="图表 2"/>
        <xdr:cNvGraphicFramePr/>
      </xdr:nvGraphicFramePr>
      <xdr:xfrm>
        <a:off x="375285" y="3657600"/>
        <a:ext cx="4011295" cy="3282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125095</xdr:colOff>
      <xdr:row>15</xdr:row>
      <xdr:rowOff>126365</xdr:rowOff>
    </xdr:from>
    <xdr:to>
      <xdr:col>13</xdr:col>
      <xdr:colOff>196215</xdr:colOff>
      <xdr:row>32</xdr:row>
      <xdr:rowOff>151765</xdr:rowOff>
    </xdr:to>
    <xdr:graphicFrame>
      <xdr:nvGraphicFramePr>
        <xdr:cNvPr id="4" name="图表 3"/>
        <xdr:cNvGraphicFramePr/>
      </xdr:nvGraphicFramePr>
      <xdr:xfrm>
        <a:off x="5364480" y="3663315"/>
        <a:ext cx="4132580" cy="3263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chuchengfei\Desktop\&#12304;&#21475;&#24452;&#34920;&#12305;bd-12&#26376;&#30446;&#26631;&#36827;&#24230;12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chuchengfei\Desktop\&#12304;&#21475;&#24452;&#34920;&#12305;bd-12&#26376;&#30446;&#26631;&#36827;&#24230;12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标完成度"/>
      <sheetName val="短险数据"/>
      <sheetName val="赠险数据 "/>
      <sheetName val="电话医生数据"/>
      <sheetName val="周报数据"/>
      <sheetName val="短险透视"/>
      <sheetName val="赠险透视"/>
      <sheetName val="长险价值"/>
      <sheetName val="Sheet1"/>
      <sheetName val="保险产品成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渠道</v>
          </cell>
          <cell r="C1" t="str">
            <v>1月</v>
          </cell>
          <cell r="D1" t="str">
            <v>2月</v>
          </cell>
          <cell r="E1" t="str">
            <v>3月</v>
          </cell>
          <cell r="F1" t="str">
            <v>4月</v>
          </cell>
          <cell r="G1" t="str">
            <v>5月</v>
          </cell>
          <cell r="H1" t="str">
            <v>6月</v>
          </cell>
          <cell r="I1" t="str">
            <v>7月</v>
          </cell>
          <cell r="J1" t="str">
            <v>8月</v>
          </cell>
          <cell r="K1" t="str">
            <v>9月</v>
          </cell>
        </row>
        <row r="2">
          <cell r="B2" t="str">
            <v>BD_BXMzx</v>
          </cell>
          <cell r="C2">
            <v>0.368638698978049</v>
          </cell>
          <cell r="D2">
            <v>0.40138032901311</v>
          </cell>
          <cell r="E2">
            <v>0.357232995111832</v>
          </cell>
          <cell r="F2">
            <v>0.345175015135417</v>
          </cell>
          <cell r="G2">
            <v>0.290021195062553</v>
          </cell>
          <cell r="H2">
            <v>0.227840964893078</v>
          </cell>
          <cell r="I2">
            <v>0.198199395377218</v>
          </cell>
          <cell r="J2">
            <v>0.198199395377218</v>
          </cell>
          <cell r="K2">
            <v>0</v>
          </cell>
        </row>
        <row r="3">
          <cell r="B3" t="str">
            <v>BD_DEzx</v>
          </cell>
        </row>
        <row r="3">
          <cell r="D3">
            <v>0.324131553733407</v>
          </cell>
          <cell r="E3">
            <v>0.319568801033556</v>
          </cell>
          <cell r="F3">
            <v>0.310573307120734</v>
          </cell>
          <cell r="G3">
            <v>0.309823171630632</v>
          </cell>
          <cell r="H3">
            <v>0.304936527339282</v>
          </cell>
          <cell r="I3">
            <v>0.291807305048945</v>
          </cell>
          <cell r="J3">
            <v>0.331870167608684</v>
          </cell>
          <cell r="K3">
            <v>0.376277345125724</v>
          </cell>
        </row>
        <row r="4">
          <cell r="B4" t="str">
            <v>BD_SXzx</v>
          </cell>
          <cell r="C4">
            <v>0.437304009990841</v>
          </cell>
          <cell r="D4">
            <v>0.404429841068736</v>
          </cell>
          <cell r="E4">
            <v>0.372162442602364</v>
          </cell>
          <cell r="F4">
            <v>0.360969104180525</v>
          </cell>
          <cell r="G4">
            <v>0.355399059895599</v>
          </cell>
          <cell r="H4">
            <v>0.367688079240074</v>
          </cell>
          <cell r="I4">
            <v>0.378950909774165</v>
          </cell>
          <cell r="J4">
            <v>0.331207561490048</v>
          </cell>
          <cell r="K4">
            <v>0</v>
          </cell>
        </row>
        <row r="5">
          <cell r="B5" t="str">
            <v>BD_TAxzx</v>
          </cell>
          <cell r="C5">
            <v>0.37968018241124</v>
          </cell>
          <cell r="D5">
            <v>0.370484668636664</v>
          </cell>
          <cell r="E5">
            <v>0.349416757507677</v>
          </cell>
          <cell r="F5">
            <v>0.329789514218873</v>
          </cell>
          <cell r="G5">
            <v>0.21247910027131</v>
          </cell>
          <cell r="H5">
            <v>0.183443691168899</v>
          </cell>
          <cell r="I5">
            <v>0.186154886101863</v>
          </cell>
          <cell r="J5">
            <v>0.186154886101863</v>
          </cell>
          <cell r="K5">
            <v>0</v>
          </cell>
        </row>
        <row r="6">
          <cell r="B6" t="str">
            <v>BD_TDzx</v>
          </cell>
          <cell r="C6">
            <v>0.417141592458886</v>
          </cell>
          <cell r="D6">
            <v>0.385231502091781</v>
          </cell>
          <cell r="E6">
            <v>0.326459340233132</v>
          </cell>
          <cell r="F6">
            <v>0.327276890074568</v>
          </cell>
          <cell r="G6">
            <v>0.300603352790484</v>
          </cell>
          <cell r="H6">
            <v>0.272270017146885</v>
          </cell>
          <cell r="I6">
            <v>0.24551124566676</v>
          </cell>
          <cell r="J6">
            <v>0.2600305997673</v>
          </cell>
          <cell r="K6">
            <v>0.337199650253338</v>
          </cell>
        </row>
        <row r="7">
          <cell r="B7" t="str">
            <v>BD_YSBzx</v>
          </cell>
          <cell r="C7">
            <v>0.43667572362222</v>
          </cell>
          <cell r="D7">
            <v>0.414334730306447</v>
          </cell>
          <cell r="E7">
            <v>0.360187940643277</v>
          </cell>
          <cell r="F7">
            <v>0.352569937597586</v>
          </cell>
          <cell r="G7">
            <v>0.347084822664192</v>
          </cell>
          <cell r="H7">
            <v>0.335956998655699</v>
          </cell>
          <cell r="I7">
            <v>0.272774040659403</v>
          </cell>
          <cell r="J7">
            <v>0.280312084136333</v>
          </cell>
          <cell r="K7">
            <v>0.339992647412075</v>
          </cell>
        </row>
        <row r="8">
          <cell r="B8" t="str">
            <v>BD_WZZX</v>
          </cell>
        </row>
        <row r="8">
          <cell r="J8">
            <v>0.266555254693424</v>
          </cell>
          <cell r="K8">
            <v>0.38313856390695</v>
          </cell>
        </row>
        <row r="9">
          <cell r="B9" t="str">
            <v>BD整体</v>
          </cell>
          <cell r="C9">
            <v>0.429477999556661</v>
          </cell>
          <cell r="D9">
            <v>0.395408500767953</v>
          </cell>
          <cell r="E9">
            <v>0.346901997586117</v>
          </cell>
          <cell r="F9">
            <v>0.338873426942249</v>
          </cell>
          <cell r="G9">
            <v>0.3287357688274</v>
          </cell>
          <cell r="H9">
            <v>0.320927511412293</v>
          </cell>
          <cell r="I9">
            <v>0.269429221655233</v>
          </cell>
          <cell r="J9">
            <v>0.282750291262966</v>
          </cell>
          <cell r="K9">
            <v>0.343951507310063</v>
          </cell>
        </row>
        <row r="10">
          <cell r="B10" t="str">
            <v>BD_PDTdx</v>
          </cell>
          <cell r="C10">
            <v>0.0810072495078976</v>
          </cell>
          <cell r="D10">
            <v>0.0840269588574423</v>
          </cell>
          <cell r="E10">
            <v>0.10046014632268</v>
          </cell>
          <cell r="F10">
            <v>0.0738495779110572</v>
          </cell>
          <cell r="G10">
            <v>0.0884807451391826</v>
          </cell>
          <cell r="H10">
            <v>0.0480217601547006</v>
          </cell>
          <cell r="I10">
            <v>0.0462648869515043</v>
          </cell>
          <cell r="J10">
            <v>0.0673831972194924</v>
          </cell>
          <cell r="K10">
            <v>0.0985308032022388</v>
          </cell>
        </row>
        <row r="11">
          <cell r="B11" t="str">
            <v>BD_RPKJ</v>
          </cell>
          <cell r="C11">
            <v>0.0779520972414952</v>
          </cell>
          <cell r="D11">
            <v>0.0866485169151958</v>
          </cell>
          <cell r="E11">
            <v>0.118646991722952</v>
          </cell>
          <cell r="F11">
            <v>0.102744083717394</v>
          </cell>
          <cell r="G11">
            <v>0.122629089798957</v>
          </cell>
          <cell r="H11">
            <v>0.143812955573001</v>
          </cell>
          <cell r="I11">
            <v>0.143812955573001</v>
          </cell>
          <cell r="J11">
            <v>0.0895121442923536</v>
          </cell>
          <cell r="K11">
            <v>0.094316228443517</v>
          </cell>
        </row>
        <row r="12">
          <cell r="B12" t="str">
            <v>BD_XYdx</v>
          </cell>
          <cell r="C12">
            <v>0.0375132683383407</v>
          </cell>
          <cell r="D12">
            <v>0.033976342303774</v>
          </cell>
          <cell r="E12">
            <v>0.0741668667027804</v>
          </cell>
          <cell r="F12">
            <v>0.0903460542995992</v>
          </cell>
          <cell r="G12">
            <v>0.106467302250549</v>
          </cell>
          <cell r="H12">
            <v>0.0814951147334786</v>
          </cell>
          <cell r="I12">
            <v>0.104302793637302</v>
          </cell>
          <cell r="J12">
            <v>0.149337484632247</v>
          </cell>
          <cell r="K12">
            <v>0.215727995779758</v>
          </cell>
        </row>
        <row r="13">
          <cell r="B13" t="str">
            <v>BD_FKdx</v>
          </cell>
        </row>
        <row r="13">
          <cell r="J13">
            <v>0.133027473220417</v>
          </cell>
          <cell r="K13">
            <v>0</v>
          </cell>
        </row>
        <row r="14">
          <cell r="B14" t="str">
            <v>BD_RYdx</v>
          </cell>
        </row>
        <row r="14">
          <cell r="J14">
            <v>0.079913861191515</v>
          </cell>
          <cell r="K14">
            <v>0.0765817287549082</v>
          </cell>
        </row>
        <row r="15">
          <cell r="B15" t="str">
            <v>BD_SMdx</v>
          </cell>
        </row>
        <row r="15">
          <cell r="J15">
            <v>0.0737168200159692</v>
          </cell>
          <cell r="K15">
            <v>0.116036824482665</v>
          </cell>
        </row>
        <row r="16">
          <cell r="B16" t="str">
            <v>BD_TXYdx</v>
          </cell>
        </row>
        <row r="16">
          <cell r="J16">
            <v>0.128443611975205</v>
          </cell>
          <cell r="K16">
            <v>0.185904398174903</v>
          </cell>
        </row>
        <row r="17">
          <cell r="B17" t="str">
            <v>BD_WCJW</v>
          </cell>
        </row>
        <row r="17">
          <cell r="J17">
            <v>0.0977799359351524</v>
          </cell>
          <cell r="K17">
            <v>0.10294107644378</v>
          </cell>
        </row>
        <row r="18">
          <cell r="B18" t="str">
            <v>BD_WZKJ</v>
          </cell>
        </row>
        <row r="18">
          <cell r="J18">
            <v>0.166014569723137</v>
          </cell>
          <cell r="K18">
            <v>0.138120330372971</v>
          </cell>
        </row>
        <row r="19">
          <cell r="B19" t="str">
            <v>BD_YLdx</v>
          </cell>
        </row>
        <row r="19">
          <cell r="J19">
            <v>0.127502224126058</v>
          </cell>
          <cell r="K19">
            <v>0.129809018561176</v>
          </cell>
        </row>
        <row r="20">
          <cell r="B20" t="str">
            <v>BD_JCdx</v>
          </cell>
        </row>
        <row r="20">
          <cell r="K20">
            <v>0.210244650803723</v>
          </cell>
        </row>
        <row r="21">
          <cell r="B21" t="str">
            <v>BD整体</v>
          </cell>
          <cell r="C21">
            <v>0.0788807661102938</v>
          </cell>
          <cell r="D21">
            <v>0.0511266202095114</v>
          </cell>
          <cell r="E21">
            <v>0.103269811181335</v>
          </cell>
          <cell r="F21">
            <v>0.0957098127335316</v>
          </cell>
          <cell r="G21">
            <v>0.114072113599029</v>
          </cell>
          <cell r="H21">
            <v>0.0827218560062594</v>
          </cell>
          <cell r="I21">
            <v>0.10172882916171</v>
          </cell>
          <cell r="J21">
            <v>0.104607744448285</v>
          </cell>
          <cell r="K21">
            <v>0.12899712984943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目标完成度"/>
      <sheetName val="短险数据"/>
      <sheetName val="赠险数据 "/>
      <sheetName val="电话医生数据"/>
      <sheetName val="周报数据"/>
      <sheetName val="短险透视"/>
      <sheetName val="赠险透视"/>
      <sheetName val="长险价值"/>
      <sheetName val="保险产品成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渠道</v>
          </cell>
          <cell r="C1" t="str">
            <v>1月</v>
          </cell>
          <cell r="D1" t="str">
            <v>2月</v>
          </cell>
          <cell r="E1" t="str">
            <v>3月</v>
          </cell>
          <cell r="F1" t="str">
            <v>4月</v>
          </cell>
          <cell r="G1" t="str">
            <v>5月</v>
          </cell>
          <cell r="H1" t="str">
            <v>6月</v>
          </cell>
          <cell r="I1" t="str">
            <v>7月</v>
          </cell>
          <cell r="J1" t="str">
            <v>8月</v>
          </cell>
          <cell r="K1" t="str">
            <v>9月</v>
          </cell>
          <cell r="L1" t="str">
            <v>10月</v>
          </cell>
        </row>
        <row r="2">
          <cell r="B2" t="str">
            <v>BD_BXMzx</v>
          </cell>
          <cell r="C2">
            <v>0.368638698978049</v>
          </cell>
          <cell r="D2">
            <v>0.40138032901311</v>
          </cell>
          <cell r="E2">
            <v>0.357478776191925</v>
          </cell>
          <cell r="F2">
            <v>0.340831268601532</v>
          </cell>
          <cell r="G2">
            <v>0.285513962717981</v>
          </cell>
          <cell r="H2">
            <v>0.226863735130985</v>
          </cell>
          <cell r="I2">
            <v>0.202130507877932</v>
          </cell>
          <cell r="J2">
            <v>0.222887101701793</v>
          </cell>
          <cell r="K2">
            <v>0.160289538217139</v>
          </cell>
          <cell r="L2">
            <v>0.126244258801854</v>
          </cell>
        </row>
        <row r="3">
          <cell r="B3" t="str">
            <v>BD_DEzx</v>
          </cell>
        </row>
        <row r="3">
          <cell r="D3">
            <v>0.324131553733407</v>
          </cell>
          <cell r="E3">
            <v>0.396321733534005</v>
          </cell>
          <cell r="F3">
            <v>0.381497034983982</v>
          </cell>
          <cell r="G3">
            <v>0.379099049918828</v>
          </cell>
          <cell r="H3">
            <v>0.373055066657296</v>
          </cell>
          <cell r="I3">
            <v>0.349909279972313</v>
          </cell>
          <cell r="J3">
            <v>0.383574820827455</v>
          </cell>
          <cell r="K3">
            <v>0.369336052285204</v>
          </cell>
          <cell r="L3">
            <v>0</v>
          </cell>
        </row>
        <row r="4">
          <cell r="B4" t="str">
            <v>BD_SXzx</v>
          </cell>
          <cell r="C4">
            <v>0.437304009990841</v>
          </cell>
          <cell r="D4">
            <v>0.404429841068736</v>
          </cell>
          <cell r="E4">
            <v>0.382808393737171</v>
          </cell>
          <cell r="F4">
            <v>0.371561854217198</v>
          </cell>
          <cell r="G4">
            <v>0.366712766637914</v>
          </cell>
          <cell r="H4">
            <v>0.37819253622353</v>
          </cell>
          <cell r="I4">
            <v>0.389606378435181</v>
          </cell>
          <cell r="J4">
            <v>0.317083721994025</v>
          </cell>
          <cell r="K4">
            <v>0</v>
          </cell>
          <cell r="L4">
            <v>0</v>
          </cell>
        </row>
        <row r="5">
          <cell r="B5" t="str">
            <v>BD_TAxzx</v>
          </cell>
          <cell r="C5">
            <v>0.37968018241124</v>
          </cell>
          <cell r="D5">
            <v>0.370484668636664</v>
          </cell>
          <cell r="E5">
            <v>0.378874470653691</v>
          </cell>
          <cell r="F5">
            <v>0.356118255273304</v>
          </cell>
          <cell r="G5">
            <v>0.245283788859852</v>
          </cell>
          <cell r="H5">
            <v>0.211294150206716</v>
          </cell>
          <cell r="I5">
            <v>0.199143170780704</v>
          </cell>
          <cell r="J5">
            <v>0.206704919311599</v>
          </cell>
          <cell r="K5">
            <v>0.209168170479655</v>
          </cell>
          <cell r="L5">
            <v>0.196158214663517</v>
          </cell>
        </row>
        <row r="6">
          <cell r="B6" t="str">
            <v>BD_TDzx</v>
          </cell>
          <cell r="C6">
            <v>0.417141592458886</v>
          </cell>
          <cell r="D6">
            <v>0.385231502091781</v>
          </cell>
          <cell r="E6">
            <v>0.374965320064005</v>
          </cell>
          <cell r="F6">
            <v>0.36509407060994</v>
          </cell>
          <cell r="G6">
            <v>0.344714186875215</v>
          </cell>
          <cell r="H6">
            <v>0.312009309940451</v>
          </cell>
          <cell r="I6">
            <v>0.27589481153656</v>
          </cell>
          <cell r="J6">
            <v>0.286862911095541</v>
          </cell>
          <cell r="K6">
            <v>0.31299603949277</v>
          </cell>
          <cell r="L6">
            <v>0.329728845142419</v>
          </cell>
        </row>
        <row r="7">
          <cell r="B7" t="str">
            <v>BD_YSBzx</v>
          </cell>
          <cell r="C7">
            <v>0.43667572362222</v>
          </cell>
          <cell r="D7">
            <v>0.414334730306447</v>
          </cell>
          <cell r="E7">
            <v>0.393472813476303</v>
          </cell>
          <cell r="F7">
            <v>0.385475356867886</v>
          </cell>
          <cell r="G7">
            <v>0.384545783834492</v>
          </cell>
          <cell r="H7">
            <v>0.378402341053071</v>
          </cell>
          <cell r="I7">
            <v>0.295134128072193</v>
          </cell>
          <cell r="J7">
            <v>0.298769370670732</v>
          </cell>
          <cell r="K7">
            <v>0.318965557527198</v>
          </cell>
          <cell r="L7">
            <v>0.301103404103967</v>
          </cell>
        </row>
        <row r="8">
          <cell r="B8" t="str">
            <v>BD_WZZX</v>
          </cell>
        </row>
        <row r="8">
          <cell r="E8">
            <v>0.394222208047711</v>
          </cell>
          <cell r="F8">
            <v>0.372150483534602</v>
          </cell>
          <cell r="G8">
            <v>0.352911231366404</v>
          </cell>
          <cell r="H8">
            <v>0.341451701020203</v>
          </cell>
          <cell r="I8">
            <v>0.29533873574997</v>
          </cell>
          <cell r="J8">
            <v>0.258673376607439</v>
          </cell>
          <cell r="K8">
            <v>0.349223112477272</v>
          </cell>
          <cell r="L8">
            <v>0.299363728226606</v>
          </cell>
        </row>
        <row r="9">
          <cell r="B9" t="str">
            <v>BD整体</v>
          </cell>
          <cell r="C9">
            <v>0.429477999556661</v>
          </cell>
          <cell r="D9">
            <v>0.395408500767953</v>
          </cell>
          <cell r="E9">
            <v>0.385629201453874</v>
          </cell>
          <cell r="F9">
            <v>0.368250823519548</v>
          </cell>
          <cell r="G9">
            <v>0.293748438109378</v>
          </cell>
          <cell r="H9">
            <v>0.235603264298036</v>
          </cell>
          <cell r="I9">
            <v>0.218819077125338</v>
          </cell>
          <cell r="J9">
            <v>0.238337471304729</v>
          </cell>
          <cell r="K9">
            <v>0.251610095747626</v>
          </cell>
          <cell r="L9">
            <v>0.213171399467155</v>
          </cell>
        </row>
        <row r="10">
          <cell r="B10" t="str">
            <v>BD_PDTdx</v>
          </cell>
          <cell r="C10">
            <v>0.0810072495078976</v>
          </cell>
          <cell r="D10">
            <v>0.0840269588574423</v>
          </cell>
        </row>
        <row r="10">
          <cell r="F10">
            <v>0.0816549622433431</v>
          </cell>
          <cell r="G10">
            <v>0.0988453059525913</v>
          </cell>
          <cell r="H10">
            <v>0.060178216674849</v>
          </cell>
          <cell r="I10">
            <v>0</v>
          </cell>
          <cell r="J10">
            <v>0.0641001423217348</v>
          </cell>
          <cell r="K10">
            <v>0.0872127123383695</v>
          </cell>
          <cell r="L10">
            <v>0.127645633219232</v>
          </cell>
        </row>
        <row r="11">
          <cell r="B11" t="str">
            <v>BD_RPKJ</v>
          </cell>
          <cell r="C11">
            <v>0.0779520972414952</v>
          </cell>
          <cell r="D11">
            <v>0.0866485169151958</v>
          </cell>
          <cell r="E11">
            <v>0.0715375360834343</v>
          </cell>
          <cell r="F11">
            <v>0.11019543984409</v>
          </cell>
          <cell r="G11">
            <v>0.131270773514096</v>
          </cell>
          <cell r="H11">
            <v>0.162457443734428</v>
          </cell>
        </row>
        <row r="11">
          <cell r="J11">
            <v>0.0924043166861943</v>
          </cell>
          <cell r="K11">
            <v>0.0880258211844859</v>
          </cell>
          <cell r="L11">
            <v>0.119441372789039</v>
          </cell>
        </row>
        <row r="12">
          <cell r="B12" t="str">
            <v>BD_XYdx</v>
          </cell>
          <cell r="C12">
            <v>0.0375132683383407</v>
          </cell>
          <cell r="D12">
            <v>0.033976342303774</v>
          </cell>
          <cell r="E12">
            <v>0.049749969919384</v>
          </cell>
          <cell r="F12">
            <v>0.0933326691757173</v>
          </cell>
          <cell r="G12">
            <v>0.114858876887295</v>
          </cell>
          <cell r="H12">
            <v>0.0824416802514365</v>
          </cell>
          <cell r="I12">
            <v>0.10645258006478</v>
          </cell>
          <cell r="J12">
            <v>0.152183478160538</v>
          </cell>
          <cell r="K12">
            <v>0.209055187867802</v>
          </cell>
          <cell r="L12">
            <v>0.218294319118939</v>
          </cell>
        </row>
        <row r="13">
          <cell r="B13" t="str">
            <v>BD_FKdx</v>
          </cell>
        </row>
        <row r="13">
          <cell r="J13">
            <v>0.133027473220417</v>
          </cell>
          <cell r="K13">
            <v>0</v>
          </cell>
        </row>
        <row r="14">
          <cell r="B14" t="str">
            <v>BD_RYdx</v>
          </cell>
        </row>
        <row r="14">
          <cell r="I14">
            <v>0.170353337294514</v>
          </cell>
          <cell r="J14">
            <v>0.0784170559702219</v>
          </cell>
          <cell r="K14">
            <v>0.075018677376611</v>
          </cell>
          <cell r="L14">
            <v>0.0796079946674926</v>
          </cell>
        </row>
        <row r="15">
          <cell r="B15" t="str">
            <v>BD_SMdx</v>
          </cell>
        </row>
        <row r="15">
          <cell r="J15">
            <v>0.0800025029094329</v>
          </cell>
          <cell r="K15">
            <v>0.109538212265405</v>
          </cell>
          <cell r="L15">
            <v>0.123012963467231</v>
          </cell>
        </row>
        <row r="16">
          <cell r="B16" t="str">
            <v>BD_TXYdx</v>
          </cell>
        </row>
        <row r="16">
          <cell r="I16">
            <v>0.153661631944444</v>
          </cell>
          <cell r="J16">
            <v>0.146411875264285</v>
          </cell>
          <cell r="K16">
            <v>0.196982117409715</v>
          </cell>
          <cell r="L16">
            <v>0.166370364574497</v>
          </cell>
        </row>
        <row r="17">
          <cell r="B17" t="str">
            <v>BD_WCJW</v>
          </cell>
        </row>
        <row r="17">
          <cell r="E17">
            <v>0.137306165099269</v>
          </cell>
          <cell r="F17">
            <v>0.193401037624086</v>
          </cell>
          <cell r="G17">
            <v>0.177298964420735</v>
          </cell>
          <cell r="H17">
            <v>0</v>
          </cell>
          <cell r="I17">
            <v>0</v>
          </cell>
          <cell r="J17">
            <v>0.102453177693671</v>
          </cell>
          <cell r="K17">
            <v>0.100763907231982</v>
          </cell>
          <cell r="L17">
            <v>0.110691508604198</v>
          </cell>
        </row>
        <row r="18">
          <cell r="B18" t="str">
            <v>BD_WZKJ</v>
          </cell>
        </row>
        <row r="18">
          <cell r="I18">
            <v>0.186467136150235</v>
          </cell>
          <cell r="J18">
            <v>0.165698169899546</v>
          </cell>
          <cell r="K18">
            <v>0.131864415099804</v>
          </cell>
          <cell r="L18">
            <v>0.120696530053176</v>
          </cell>
        </row>
        <row r="19">
          <cell r="B19" t="str">
            <v>BD_YLdx</v>
          </cell>
        </row>
        <row r="19">
          <cell r="I19">
            <v>0.131324769433465</v>
          </cell>
          <cell r="J19">
            <v>0.128354102782582</v>
          </cell>
          <cell r="K19">
            <v>0.133230550629854</v>
          </cell>
        </row>
        <row r="20">
          <cell r="B20" t="str">
            <v>BD_JCdx</v>
          </cell>
        </row>
        <row r="20">
          <cell r="J20">
            <v>0.176264455569462</v>
          </cell>
          <cell r="K20">
            <v>0.173343578914203</v>
          </cell>
          <cell r="L20">
            <v>0.134639963623978</v>
          </cell>
        </row>
        <row r="21">
          <cell r="B21" t="str">
            <v>BD_YKdx</v>
          </cell>
        </row>
        <row r="21">
          <cell r="L21">
            <v>0.107908911243743</v>
          </cell>
        </row>
        <row r="22">
          <cell r="B22" t="str">
            <v>BD整体</v>
          </cell>
          <cell r="C22">
            <v>0.0788807661102938</v>
          </cell>
          <cell r="D22">
            <v>0.0511266202095114</v>
          </cell>
          <cell r="E22">
            <v>0.0669815076770307</v>
          </cell>
          <cell r="F22">
            <v>0.1111659638914</v>
          </cell>
          <cell r="G22">
            <v>0.123841246123493</v>
          </cell>
          <cell r="H22">
            <v>0.0849366186276575</v>
          </cell>
          <cell r="I22">
            <v>0.121223375961057</v>
          </cell>
          <cell r="J22">
            <v>0.109973250771998</v>
          </cell>
          <cell r="K22">
            <v>0.122627191553018</v>
          </cell>
          <cell r="L22">
            <v>0.139457112454103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4:AC7"/>
  <sheetViews>
    <sheetView showGridLines="0" workbookViewId="0">
      <selection activeCell="C15" sqref="C15"/>
    </sheetView>
  </sheetViews>
  <sheetFormatPr defaultColWidth="9.22727272727273" defaultRowHeight="14" outlineLevelRow="6"/>
  <cols>
    <col min="1" max="1" width="4" customWidth="1"/>
    <col min="3" max="3" width="13" customWidth="1"/>
    <col min="4" max="4" width="16.3818181818182" customWidth="1"/>
    <col min="8" max="8" width="10.7272727272727" hidden="1" customWidth="1"/>
    <col min="9" max="9" width="13.4545454545455" hidden="1" customWidth="1"/>
    <col min="18" max="18" width="10.4909090909091" customWidth="1"/>
    <col min="19" max="19" width="13.9272727272727" customWidth="1"/>
    <col min="20" max="29" width="9.22727272727273" hidden="1" customWidth="1"/>
  </cols>
  <sheetData>
    <row r="4" spans="2:29">
      <c r="B4" s="105"/>
      <c r="C4" s="106" t="s">
        <v>0</v>
      </c>
      <c r="D4" s="106" t="s">
        <v>1</v>
      </c>
      <c r="E4" s="105" t="s">
        <v>2</v>
      </c>
      <c r="F4" s="105" t="s">
        <v>3</v>
      </c>
      <c r="G4" s="105" t="s">
        <v>4</v>
      </c>
      <c r="H4" s="105" t="s">
        <v>5</v>
      </c>
      <c r="I4" s="112" t="s">
        <v>6</v>
      </c>
      <c r="J4" s="106" t="s">
        <v>7</v>
      </c>
      <c r="K4" s="106" t="s">
        <v>8</v>
      </c>
      <c r="L4" s="106" t="s">
        <v>9</v>
      </c>
      <c r="M4" s="112" t="s">
        <v>10</v>
      </c>
      <c r="N4" s="112" t="s">
        <v>11</v>
      </c>
      <c r="O4" s="106" t="s">
        <v>12</v>
      </c>
      <c r="P4" s="112" t="s">
        <v>13</v>
      </c>
      <c r="Q4" s="106" t="s">
        <v>14</v>
      </c>
      <c r="R4" s="112" t="s">
        <v>15</v>
      </c>
      <c r="S4" s="112" t="s">
        <v>16</v>
      </c>
      <c r="T4" s="105" t="s">
        <v>17</v>
      </c>
      <c r="U4" s="105" t="s">
        <v>18</v>
      </c>
      <c r="V4" s="106" t="s">
        <v>19</v>
      </c>
      <c r="W4" s="106" t="s">
        <v>20</v>
      </c>
      <c r="X4" s="112" t="s">
        <v>21</v>
      </c>
      <c r="Y4" s="106" t="s">
        <v>22</v>
      </c>
      <c r="Z4" s="112" t="s">
        <v>23</v>
      </c>
      <c r="AA4" s="112" t="s">
        <v>24</v>
      </c>
      <c r="AB4" s="112" t="s">
        <v>25</v>
      </c>
      <c r="AC4" s="112" t="s">
        <v>26</v>
      </c>
    </row>
    <row r="5" spans="2:29">
      <c r="B5" s="107" t="s">
        <v>27</v>
      </c>
      <c r="C5" s="108">
        <v>90000000</v>
      </c>
      <c r="D5" s="108">
        <v>58184516</v>
      </c>
      <c r="E5" s="109">
        <v>0.646494622222222</v>
      </c>
      <c r="F5" s="110">
        <v>1.65696936534401</v>
      </c>
      <c r="G5" s="110">
        <v>1.78689552514882</v>
      </c>
      <c r="H5" s="108">
        <v>7637863.20754717</v>
      </c>
      <c r="I5" s="108">
        <v>12655705.3515938</v>
      </c>
      <c r="J5" s="108">
        <v>904.666272778158</v>
      </c>
      <c r="K5" s="108">
        <v>0</v>
      </c>
      <c r="L5" s="108">
        <v>118.755258528938</v>
      </c>
      <c r="M5" s="113">
        <v>0</v>
      </c>
      <c r="N5" s="114">
        <v>0.0110959463980011</v>
      </c>
      <c r="O5" s="115">
        <v>0.794698945365678</v>
      </c>
      <c r="P5" s="113">
        <v>0.00822501399340755</v>
      </c>
      <c r="Q5" s="113">
        <v>0.0359164127122334</v>
      </c>
      <c r="R5" s="116">
        <v>27</v>
      </c>
      <c r="S5" s="117">
        <v>7953871</v>
      </c>
      <c r="T5" s="118">
        <v>20138</v>
      </c>
      <c r="U5" s="118">
        <v>19101</v>
      </c>
      <c r="V5" s="108">
        <v>15375</v>
      </c>
      <c r="W5" s="108">
        <v>137</v>
      </c>
      <c r="X5" s="108">
        <v>645</v>
      </c>
      <c r="Y5" s="108" t="s">
        <v>28</v>
      </c>
      <c r="Z5" s="120" t="s">
        <v>28</v>
      </c>
      <c r="AA5" s="120">
        <v>1148044</v>
      </c>
      <c r="AB5" s="121">
        <v>0.152678138039155</v>
      </c>
      <c r="AC5" s="118">
        <v>315261.630373548</v>
      </c>
    </row>
    <row r="6" spans="2:29">
      <c r="B6" s="107" t="s">
        <v>29</v>
      </c>
      <c r="C6" s="108">
        <v>6000000</v>
      </c>
      <c r="D6" s="108">
        <v>4420020</v>
      </c>
      <c r="E6" s="109">
        <v>0.73667</v>
      </c>
      <c r="F6" s="110">
        <v>1.38484812351223</v>
      </c>
      <c r="G6" s="110">
        <v>1.8019276463895</v>
      </c>
      <c r="H6" s="108">
        <v>631379.245283018</v>
      </c>
      <c r="I6" s="108">
        <v>884446.002</v>
      </c>
      <c r="J6" s="108">
        <v>824.323013800821</v>
      </c>
      <c r="K6" s="108">
        <v>6.65983761532233</v>
      </c>
      <c r="L6" s="108">
        <v>117.750698486203</v>
      </c>
      <c r="M6" s="113">
        <v>0.0565587949875533</v>
      </c>
      <c r="N6" s="114">
        <v>0.00309481194775182</v>
      </c>
      <c r="O6" s="115">
        <v>0.807193966350803</v>
      </c>
      <c r="P6" s="113">
        <v>0.0117493472584856</v>
      </c>
      <c r="Q6" s="113">
        <v>0.066952629615815</v>
      </c>
      <c r="R6" s="116">
        <v>27</v>
      </c>
      <c r="S6" s="117">
        <v>394995</v>
      </c>
      <c r="T6" s="118">
        <v>479</v>
      </c>
      <c r="U6" s="118">
        <v>464</v>
      </c>
      <c r="V6" s="108">
        <v>411</v>
      </c>
      <c r="W6" s="108">
        <v>7</v>
      </c>
      <c r="X6" s="108">
        <v>28</v>
      </c>
      <c r="Y6" s="120">
        <v>13345</v>
      </c>
      <c r="Z6" s="120">
        <v>1300</v>
      </c>
      <c r="AA6" s="120">
        <v>178484</v>
      </c>
      <c r="AB6" s="122">
        <v>0.34077747133177</v>
      </c>
      <c r="AC6" s="118">
        <v>29654.2305135643</v>
      </c>
    </row>
    <row r="7" spans="2:29">
      <c r="B7" s="111" t="s">
        <v>30</v>
      </c>
      <c r="C7" s="108">
        <v>96000000</v>
      </c>
      <c r="D7" s="108">
        <v>62604536</v>
      </c>
      <c r="E7" s="109">
        <v>0.652130583333333</v>
      </c>
      <c r="F7" s="110">
        <v>1.63597108522343</v>
      </c>
      <c r="G7" s="110">
        <v>1.78768862157682</v>
      </c>
      <c r="H7" s="108">
        <v>8269242.45283019</v>
      </c>
      <c r="I7" s="108">
        <v>13540151.3535938</v>
      </c>
      <c r="J7" s="108">
        <v>898.483538563105</v>
      </c>
      <c r="K7" s="108">
        <v>6.65983761532233</v>
      </c>
      <c r="L7" s="108">
        <v>118.677953627116</v>
      </c>
      <c r="M7" s="113" t="s">
        <v>28</v>
      </c>
      <c r="N7" s="114">
        <v>0.00925470398973134</v>
      </c>
      <c r="O7" s="115">
        <v>0.79567583912912</v>
      </c>
      <c r="P7" s="113">
        <v>0.00849622549441718</v>
      </c>
      <c r="Q7" s="113">
        <v>0.0383047733861477</v>
      </c>
      <c r="R7" s="119">
        <v>0.9</v>
      </c>
      <c r="S7" s="117">
        <v>8348866</v>
      </c>
      <c r="T7" s="118">
        <v>20617</v>
      </c>
      <c r="U7" s="118">
        <v>19565</v>
      </c>
      <c r="V7" s="118">
        <v>15786</v>
      </c>
      <c r="W7" s="118">
        <v>144</v>
      </c>
      <c r="X7" s="118">
        <v>673</v>
      </c>
      <c r="Y7" s="118">
        <v>13345</v>
      </c>
      <c r="Z7" s="118">
        <v>1300</v>
      </c>
      <c r="AA7" s="118">
        <v>1326528</v>
      </c>
      <c r="AB7" s="121">
        <v>0.160284581127679</v>
      </c>
      <c r="AC7" s="118">
        <v>344915.860887112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  <pageSetUpPr autoPageBreaks="0"/>
  </sheetPr>
  <dimension ref="A1:U94"/>
  <sheetViews>
    <sheetView showGridLines="0" zoomScale="80" zoomScaleNormal="80" workbookViewId="0">
      <selection activeCell="A12" sqref="A12"/>
    </sheetView>
  </sheetViews>
  <sheetFormatPr defaultColWidth="9.16363636363636" defaultRowHeight="14.5"/>
  <cols>
    <col min="1" max="1" width="13.2272727272727" style="31" customWidth="1"/>
    <col min="2" max="2" width="12.8363636363636" style="31" customWidth="1"/>
    <col min="3" max="3" width="17.4545454545455" style="31" customWidth="1"/>
    <col min="4" max="4" width="18.4636363636364" style="31" customWidth="1"/>
    <col min="5" max="5" width="14.3090909090909" style="33" customWidth="1"/>
    <col min="6" max="6" width="15.4454545454545" style="33" customWidth="1"/>
    <col min="7" max="7" width="18.1181818181818" style="33" customWidth="1"/>
    <col min="8" max="8" width="15.4454545454545" style="33" customWidth="1"/>
    <col min="9" max="9" width="11.8636363636364" style="31" customWidth="1"/>
    <col min="10" max="10" width="13.5454545454545" style="31" customWidth="1"/>
    <col min="11" max="11" width="13.5090909090909" style="31" customWidth="1"/>
    <col min="12" max="12" width="8.16363636363636" style="79" customWidth="1"/>
    <col min="13" max="13" width="10.3363636363636" style="31" customWidth="1"/>
    <col min="14" max="14" width="12.8363636363636" style="33" customWidth="1"/>
    <col min="15" max="15" width="11.5" style="31" customWidth="1"/>
    <col min="16" max="16" width="10.3363636363636" style="33" customWidth="1"/>
    <col min="17" max="17" width="12.8363636363636" style="33" customWidth="1"/>
    <col min="18" max="18" width="11.5" style="33" customWidth="1"/>
    <col min="19" max="19" width="12.8363636363636" style="33" customWidth="1"/>
    <col min="20" max="20" width="20" style="31" customWidth="1"/>
    <col min="21" max="16384" width="9.16363636363636" style="31"/>
  </cols>
  <sheetData>
    <row r="1" spans="1:19">
      <c r="A1" s="38" t="s">
        <v>31</v>
      </c>
      <c r="B1" s="38" t="s">
        <v>32</v>
      </c>
      <c r="C1" s="38" t="s">
        <v>33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30</v>
      </c>
      <c r="L1" s="31"/>
      <c r="N1" s="31"/>
      <c r="P1" s="31"/>
      <c r="Q1" s="31"/>
      <c r="R1" s="31"/>
      <c r="S1" s="31"/>
    </row>
    <row r="2" hidden="1" spans="1:19">
      <c r="A2" s="53" t="s">
        <v>41</v>
      </c>
      <c r="B2" s="33">
        <v>12319442</v>
      </c>
      <c r="C2" s="33">
        <v>433969</v>
      </c>
      <c r="D2" s="33">
        <v>8974314</v>
      </c>
      <c r="E2" s="33">
        <v>2461461</v>
      </c>
      <c r="F2" s="33">
        <v>1401</v>
      </c>
      <c r="G2" s="33">
        <v>4175174</v>
      </c>
      <c r="H2" s="33">
        <v>56154</v>
      </c>
      <c r="I2" s="33">
        <v>2841062</v>
      </c>
      <c r="J2" s="33"/>
      <c r="K2" s="33">
        <f t="shared" ref="K2:K10" si="0">SUM(B2:H2)</f>
        <v>28421915</v>
      </c>
      <c r="L2" s="31"/>
      <c r="N2" s="31"/>
      <c r="P2" s="31"/>
      <c r="Q2" s="31"/>
      <c r="R2" s="31"/>
      <c r="S2" s="31"/>
    </row>
    <row r="3" hidden="1" spans="1:19">
      <c r="A3" s="53" t="s">
        <v>42</v>
      </c>
      <c r="B3" s="33">
        <v>10123861</v>
      </c>
      <c r="C3" s="33">
        <v>207377</v>
      </c>
      <c r="D3" s="33">
        <v>7052131</v>
      </c>
      <c r="E3" s="33">
        <v>1156821</v>
      </c>
      <c r="F3" s="33">
        <v>11227</v>
      </c>
      <c r="G3" s="33">
        <v>3786820</v>
      </c>
      <c r="H3" s="33">
        <v>52084</v>
      </c>
      <c r="I3" s="33">
        <v>1899495</v>
      </c>
      <c r="J3" s="33"/>
      <c r="K3" s="33">
        <f t="shared" si="0"/>
        <v>22390321</v>
      </c>
      <c r="L3" s="31"/>
      <c r="N3" s="31"/>
      <c r="P3" s="31"/>
      <c r="Q3" s="31"/>
      <c r="R3" s="31"/>
      <c r="S3" s="31"/>
    </row>
    <row r="4" hidden="1" spans="1:19">
      <c r="A4" s="53" t="s">
        <v>43</v>
      </c>
      <c r="B4" s="33">
        <v>12370541</v>
      </c>
      <c r="C4" s="33">
        <v>37150</v>
      </c>
      <c r="D4" s="33">
        <v>5174368</v>
      </c>
      <c r="E4" s="33">
        <v>925620</v>
      </c>
      <c r="F4" s="33">
        <v>3697</v>
      </c>
      <c r="G4" s="33">
        <v>3152072</v>
      </c>
      <c r="H4" s="33">
        <v>56901</v>
      </c>
      <c r="I4" s="33">
        <v>1480980</v>
      </c>
      <c r="J4" s="33"/>
      <c r="K4" s="33">
        <f t="shared" si="0"/>
        <v>21720349</v>
      </c>
      <c r="L4" s="31"/>
      <c r="N4" s="31"/>
      <c r="P4" s="31"/>
      <c r="Q4" s="31"/>
      <c r="R4" s="31"/>
      <c r="S4" s="31"/>
    </row>
    <row r="5" hidden="1" spans="1:19">
      <c r="A5" s="53" t="s">
        <v>44</v>
      </c>
      <c r="B5" s="33">
        <v>8863345</v>
      </c>
      <c r="C5" s="33">
        <v>504353</v>
      </c>
      <c r="D5" s="33">
        <v>4310443</v>
      </c>
      <c r="E5" s="33">
        <v>654954</v>
      </c>
      <c r="F5" s="33">
        <v>190737</v>
      </c>
      <c r="G5" s="33">
        <v>2166809</v>
      </c>
      <c r="H5" s="33">
        <v>46466</v>
      </c>
      <c r="I5" s="33">
        <v>219730</v>
      </c>
      <c r="J5" s="33"/>
      <c r="K5" s="33">
        <f t="shared" si="0"/>
        <v>16737107</v>
      </c>
      <c r="L5" s="31"/>
      <c r="N5" s="31"/>
      <c r="P5" s="31"/>
      <c r="Q5" s="31"/>
      <c r="R5" s="31"/>
      <c r="S5" s="31"/>
    </row>
    <row r="6" hidden="1" spans="1:19">
      <c r="A6" s="53" t="s">
        <v>45</v>
      </c>
      <c r="B6" s="33">
        <v>9115407</v>
      </c>
      <c r="C6" s="33">
        <v>65607</v>
      </c>
      <c r="D6" s="33">
        <v>4255408</v>
      </c>
      <c r="E6" s="33">
        <v>605048</v>
      </c>
      <c r="F6" s="33">
        <v>1641285</v>
      </c>
      <c r="G6" s="33">
        <v>993577</v>
      </c>
      <c r="H6" s="33">
        <v>34700</v>
      </c>
      <c r="I6" s="33">
        <v>31529</v>
      </c>
      <c r="J6" s="33"/>
      <c r="K6" s="33">
        <f t="shared" si="0"/>
        <v>16711032</v>
      </c>
      <c r="L6" s="31"/>
      <c r="N6" s="31"/>
      <c r="P6" s="31"/>
      <c r="Q6" s="31"/>
      <c r="R6" s="31"/>
      <c r="S6" s="31"/>
    </row>
    <row r="7" hidden="1" spans="1:19">
      <c r="A7" s="53" t="s">
        <v>46</v>
      </c>
      <c r="B7" s="33">
        <v>6562522</v>
      </c>
      <c r="C7" s="33">
        <v>92968</v>
      </c>
      <c r="D7" s="33">
        <v>3400183</v>
      </c>
      <c r="E7" s="33">
        <v>695201</v>
      </c>
      <c r="F7" s="33">
        <v>1120957</v>
      </c>
      <c r="G7" s="33">
        <v>439304</v>
      </c>
      <c r="H7" s="33">
        <v>83609</v>
      </c>
      <c r="I7" s="33">
        <v>23318</v>
      </c>
      <c r="J7" s="33"/>
      <c r="K7" s="33">
        <f t="shared" si="0"/>
        <v>12394744</v>
      </c>
      <c r="L7" s="31"/>
      <c r="N7" s="31"/>
      <c r="P7" s="31"/>
      <c r="Q7" s="31"/>
      <c r="R7" s="31"/>
      <c r="S7" s="31"/>
    </row>
    <row r="8" s="31" customFormat="1" spans="1:11">
      <c r="A8" s="53" t="s">
        <v>47</v>
      </c>
      <c r="B8" s="33">
        <v>4656381</v>
      </c>
      <c r="C8" s="33">
        <v>46623</v>
      </c>
      <c r="D8" s="33">
        <v>2648248</v>
      </c>
      <c r="E8" s="33">
        <v>500720</v>
      </c>
      <c r="F8" s="33">
        <v>614885</v>
      </c>
      <c r="G8" s="33">
        <v>273339</v>
      </c>
      <c r="H8" s="33">
        <v>30898</v>
      </c>
      <c r="I8" s="33">
        <v>67431</v>
      </c>
      <c r="J8" s="33">
        <v>2633</v>
      </c>
      <c r="K8" s="33">
        <f>SUM(B8:J8)</f>
        <v>8841158</v>
      </c>
    </row>
    <row r="9" s="31" customFormat="1" spans="1:11">
      <c r="A9" s="53" t="s">
        <v>48</v>
      </c>
      <c r="B9" s="33">
        <v>6867300</v>
      </c>
      <c r="C9" s="33">
        <v>1402323</v>
      </c>
      <c r="D9" s="33">
        <v>3016144</v>
      </c>
      <c r="E9" s="33">
        <v>484469</v>
      </c>
      <c r="F9" s="33">
        <v>318858</v>
      </c>
      <c r="G9" s="33">
        <v>50701</v>
      </c>
      <c r="H9" s="33">
        <v>6137</v>
      </c>
      <c r="I9" s="33">
        <v>181062</v>
      </c>
      <c r="J9" s="33">
        <v>51327</v>
      </c>
      <c r="K9" s="33">
        <f>SUM(B9:J9)</f>
        <v>12378321</v>
      </c>
    </row>
    <row r="10" s="31" customFormat="1" spans="1:11">
      <c r="A10" s="53" t="s">
        <v>49</v>
      </c>
      <c r="B10" s="33">
        <v>7097070</v>
      </c>
      <c r="C10" s="33">
        <v>4668802</v>
      </c>
      <c r="D10" s="33">
        <v>3888470</v>
      </c>
      <c r="E10" s="33">
        <v>521096</v>
      </c>
      <c r="F10" s="33">
        <v>1667595</v>
      </c>
      <c r="G10" s="33">
        <v>60452</v>
      </c>
      <c r="H10" s="33">
        <v>4747</v>
      </c>
      <c r="I10" s="33">
        <v>17685</v>
      </c>
      <c r="J10" s="33">
        <v>52326</v>
      </c>
      <c r="K10" s="33">
        <f>SUM(B10:J10)</f>
        <v>17978243</v>
      </c>
    </row>
    <row r="11" s="31" customFormat="1" spans="1:11">
      <c r="A11" s="53" t="s">
        <v>50</v>
      </c>
      <c r="B11" s="33">
        <v>6107815</v>
      </c>
      <c r="C11" s="33">
        <v>5993326</v>
      </c>
      <c r="D11" s="33">
        <v>4034341</v>
      </c>
      <c r="E11" s="33">
        <v>454374</v>
      </c>
      <c r="F11" s="33">
        <v>82674</v>
      </c>
      <c r="G11" s="33">
        <v>16490</v>
      </c>
      <c r="H11" s="33">
        <v>10678</v>
      </c>
      <c r="I11" s="33">
        <v>9075</v>
      </c>
      <c r="J11" s="33">
        <v>99698</v>
      </c>
      <c r="K11" s="33">
        <f>SUM(B11:J11)</f>
        <v>16808471</v>
      </c>
    </row>
    <row r="12" s="31" customFormat="1" spans="1:11">
      <c r="A12" s="53" t="s">
        <v>51</v>
      </c>
      <c r="B12" s="80">
        <v>5126551</v>
      </c>
      <c r="C12" s="55">
        <v>3852937</v>
      </c>
      <c r="D12" s="33">
        <v>3662576</v>
      </c>
      <c r="E12" s="55">
        <v>401487</v>
      </c>
      <c r="F12" s="33">
        <v>188095</v>
      </c>
      <c r="G12" s="33">
        <v>80929</v>
      </c>
      <c r="H12" s="33">
        <v>385</v>
      </c>
      <c r="I12" s="33">
        <v>3882</v>
      </c>
      <c r="J12" s="33">
        <v>76238</v>
      </c>
      <c r="K12" s="33">
        <f>SUM(B12:J12)</f>
        <v>13393080</v>
      </c>
    </row>
    <row r="13" spans="1:19">
      <c r="A13" s="56" t="s">
        <v>52</v>
      </c>
      <c r="B13" s="40">
        <f>B12/B11-1</f>
        <v>-0.160657125338603</v>
      </c>
      <c r="C13" s="40">
        <f t="shared" ref="C13:K13" si="1">C12/C11-1</f>
        <v>-0.357128746208699</v>
      </c>
      <c r="D13" s="40">
        <f t="shared" si="1"/>
        <v>-0.0921501181977429</v>
      </c>
      <c r="E13" s="40">
        <f t="shared" si="1"/>
        <v>-0.116395304308785</v>
      </c>
      <c r="F13" s="40">
        <f t="shared" si="1"/>
        <v>1.27514091491884</v>
      </c>
      <c r="G13" s="40">
        <f t="shared" si="1"/>
        <v>3.9077622801698</v>
      </c>
      <c r="H13" s="40">
        <f t="shared" si="1"/>
        <v>-0.963944558906162</v>
      </c>
      <c r="I13" s="40">
        <f t="shared" si="1"/>
        <v>-0.572231404958678</v>
      </c>
      <c r="J13" s="40">
        <f t="shared" si="1"/>
        <v>-0.235310638127144</v>
      </c>
      <c r="K13" s="40">
        <f t="shared" si="1"/>
        <v>-0.203194627280494</v>
      </c>
      <c r="L13" s="31"/>
      <c r="N13" s="31"/>
      <c r="P13" s="31"/>
      <c r="Q13" s="31"/>
      <c r="R13" s="31"/>
      <c r="S13" s="31"/>
    </row>
    <row r="14" spans="5:19">
      <c r="E14" s="31"/>
      <c r="F14" s="31"/>
      <c r="G14" s="31"/>
      <c r="H14" s="31"/>
      <c r="L14" s="31"/>
      <c r="N14" s="31"/>
      <c r="P14" s="31"/>
      <c r="Q14" s="31"/>
      <c r="R14" s="31"/>
      <c r="S14" s="31"/>
    </row>
    <row r="15" spans="5:19">
      <c r="E15" s="31"/>
      <c r="F15" s="31"/>
      <c r="G15" s="31"/>
      <c r="H15" s="31"/>
      <c r="L15" s="31"/>
      <c r="N15" s="31"/>
      <c r="P15" s="31"/>
      <c r="Q15" s="31"/>
      <c r="R15" s="31"/>
      <c r="S15" s="31"/>
    </row>
    <row r="16" spans="5:19">
      <c r="E16" s="31"/>
      <c r="F16" s="31"/>
      <c r="G16" s="31"/>
      <c r="H16" s="31"/>
      <c r="L16" s="31"/>
      <c r="N16" s="31"/>
      <c r="P16" s="31"/>
      <c r="Q16" s="31"/>
      <c r="R16" s="31"/>
      <c r="S16" s="31"/>
    </row>
    <row r="17" spans="5:19">
      <c r="E17" s="31"/>
      <c r="F17" s="31"/>
      <c r="G17" s="31"/>
      <c r="H17" s="31"/>
      <c r="L17" s="31"/>
      <c r="N17" s="31"/>
      <c r="P17" s="31"/>
      <c r="Q17" s="31"/>
      <c r="R17" s="31"/>
      <c r="S17" s="31"/>
    </row>
    <row r="18" s="77" customFormat="1" ht="15" customHeight="1" spans="1:21">
      <c r="A18" s="38" t="s">
        <v>53</v>
      </c>
      <c r="B18" s="38" t="s">
        <v>54</v>
      </c>
      <c r="C18" s="38" t="s">
        <v>55</v>
      </c>
      <c r="D18" s="38" t="s">
        <v>56</v>
      </c>
      <c r="E18" s="42" t="s">
        <v>57</v>
      </c>
      <c r="F18" s="42" t="s">
        <v>58</v>
      </c>
      <c r="G18" s="42" t="s">
        <v>25</v>
      </c>
      <c r="H18" s="42" t="s">
        <v>59</v>
      </c>
      <c r="I18" s="38" t="s">
        <v>60</v>
      </c>
      <c r="J18" s="38" t="s">
        <v>61</v>
      </c>
      <c r="K18" s="38" t="s">
        <v>13</v>
      </c>
      <c r="L18" s="38" t="s">
        <v>14</v>
      </c>
      <c r="M18" s="38" t="s">
        <v>62</v>
      </c>
      <c r="N18" s="42" t="s">
        <v>63</v>
      </c>
      <c r="O18" s="38" t="s">
        <v>64</v>
      </c>
      <c r="P18" s="42" t="s">
        <v>65</v>
      </c>
      <c r="Q18" s="42" t="s">
        <v>66</v>
      </c>
      <c r="R18" s="42" t="s">
        <v>21</v>
      </c>
      <c r="S18" s="42" t="s">
        <v>67</v>
      </c>
      <c r="U18" s="103">
        <v>0.21</v>
      </c>
    </row>
    <row r="19" s="31" customFormat="1" spans="1:19">
      <c r="A19" s="31" t="s">
        <v>32</v>
      </c>
      <c r="B19" s="31" t="s">
        <v>68</v>
      </c>
      <c r="C19" s="49" t="s">
        <v>69</v>
      </c>
      <c r="D19" s="55">
        <v>344806.603773585</v>
      </c>
      <c r="E19" s="55">
        <v>5126551</v>
      </c>
      <c r="F19" s="32">
        <f t="shared" ref="F19:F29" si="2">S19/D19</f>
        <v>3.31554227931983</v>
      </c>
      <c r="G19" s="65">
        <f>VLOOKUP(C19,[1]长险价值!$B:$K,10,0)</f>
        <v>0.215727995779758</v>
      </c>
      <c r="H19" s="81">
        <f t="shared" ref="H19:H29" si="3">F19+G19</f>
        <v>3.53127027509958</v>
      </c>
      <c r="I19" s="51">
        <f t="shared" ref="I19:I29" si="4">E19/Q19</f>
        <v>938.584950567558</v>
      </c>
      <c r="J19" s="36">
        <f t="shared" ref="J19:J29" si="5">N19/Q19</f>
        <v>0.725924569754669</v>
      </c>
      <c r="K19" s="35">
        <f t="shared" ref="K19:K29" si="6">P19/O19</f>
        <v>0.0106437768240343</v>
      </c>
      <c r="L19" s="98">
        <f t="shared" ref="L19:L29" si="7">R19/Q19</f>
        <v>0.0402782863419993</v>
      </c>
      <c r="M19" s="99">
        <f t="shared" ref="M19:M29" si="8">E19/$E$27</f>
        <v>0.382787108942599</v>
      </c>
      <c r="N19" s="100">
        <v>3965</v>
      </c>
      <c r="O19" s="100">
        <v>5825</v>
      </c>
      <c r="P19" s="100">
        <v>62</v>
      </c>
      <c r="Q19" s="100">
        <v>5462</v>
      </c>
      <c r="R19" s="100">
        <v>220</v>
      </c>
      <c r="S19" s="70">
        <v>1143220.873</v>
      </c>
    </row>
    <row r="20" s="31" customFormat="1" spans="1:19">
      <c r="A20" s="31" t="s">
        <v>34</v>
      </c>
      <c r="B20" s="31" t="s">
        <v>70</v>
      </c>
      <c r="C20" s="49" t="s">
        <v>71</v>
      </c>
      <c r="D20" s="55">
        <v>749547.169811322</v>
      </c>
      <c r="E20" s="55">
        <v>3662576</v>
      </c>
      <c r="F20" s="32">
        <f>S20/D20</f>
        <v>1.08966384091023</v>
      </c>
      <c r="G20" s="65">
        <f>VLOOKUP(C20,[1]长险价值!$B:$K,10,0)</f>
        <v>0.116036824482665</v>
      </c>
      <c r="H20" s="81">
        <f>F20+G20</f>
        <v>1.2057006653929</v>
      </c>
      <c r="I20" s="51">
        <f>E20/Q20</f>
        <v>851.563822366891</v>
      </c>
      <c r="J20" s="36">
        <f>N20/Q20</f>
        <v>0.836782143687515</v>
      </c>
      <c r="K20" s="35">
        <f>P20/O20</f>
        <v>0.00772797527047913</v>
      </c>
      <c r="L20" s="98">
        <f>R20/Q20</f>
        <v>0.0441757730760288</v>
      </c>
      <c r="M20" s="99">
        <f>E20/$E$27</f>
        <v>0.273475652211896</v>
      </c>
      <c r="N20" s="73">
        <v>3599</v>
      </c>
      <c r="O20" s="73">
        <v>4529</v>
      </c>
      <c r="P20" s="73">
        <v>35</v>
      </c>
      <c r="Q20" s="73">
        <v>4301</v>
      </c>
      <c r="R20" s="73">
        <v>190</v>
      </c>
      <c r="S20" s="70">
        <v>816754.448</v>
      </c>
    </row>
    <row r="21" s="31" customFormat="1" spans="1:19">
      <c r="A21" s="31" t="s">
        <v>33</v>
      </c>
      <c r="B21" s="31" t="s">
        <v>70</v>
      </c>
      <c r="C21" s="49" t="s">
        <v>72</v>
      </c>
      <c r="D21" s="55">
        <v>670754.716981132</v>
      </c>
      <c r="E21" s="55">
        <v>3852937</v>
      </c>
      <c r="F21" s="32">
        <f>S21/D21</f>
        <v>1.28095252891702</v>
      </c>
      <c r="G21" s="65">
        <f>VLOOKUP(C21,[1]长险价值!$B:$K,10,0)</f>
        <v>0.10294107644378</v>
      </c>
      <c r="H21" s="81">
        <f>F21+G21</f>
        <v>1.3838936053608</v>
      </c>
      <c r="I21" s="51">
        <f>E21/Q21</f>
        <v>1002.06423927178</v>
      </c>
      <c r="J21" s="36">
        <f>N21/Q21</f>
        <v>0.844213263979194</v>
      </c>
      <c r="K21" s="35">
        <f>P21/O21</f>
        <v>0.00992309600595386</v>
      </c>
      <c r="L21" s="98">
        <f>R21/Q21</f>
        <v>0.035630689206762</v>
      </c>
      <c r="M21" s="99">
        <f>E21/$E$27</f>
        <v>0.287689445626888</v>
      </c>
      <c r="N21" s="100">
        <v>3246</v>
      </c>
      <c r="O21" s="100">
        <v>4031</v>
      </c>
      <c r="P21" s="100">
        <v>40</v>
      </c>
      <c r="Q21" s="100">
        <v>3845</v>
      </c>
      <c r="R21" s="100">
        <v>137</v>
      </c>
      <c r="S21" s="70">
        <v>859204.951</v>
      </c>
    </row>
    <row r="22" s="31" customFormat="1" spans="1:19">
      <c r="A22" s="31" t="s">
        <v>35</v>
      </c>
      <c r="B22" s="31" t="s">
        <v>70</v>
      </c>
      <c r="C22" s="49" t="s">
        <v>73</v>
      </c>
      <c r="D22" s="55">
        <v>72245.2830188679</v>
      </c>
      <c r="E22" s="55">
        <v>401487</v>
      </c>
      <c r="F22" s="32">
        <f t="shared" si="2"/>
        <v>1.23927261765474</v>
      </c>
      <c r="G22" s="65">
        <f>VLOOKUP(C22,[1]长险价值!$B:$K,10,0)</f>
        <v>0.138120330372971</v>
      </c>
      <c r="H22" s="81">
        <f t="shared" si="3"/>
        <v>1.37739294802771</v>
      </c>
      <c r="I22" s="51">
        <f t="shared" si="4"/>
        <v>753.258911819887</v>
      </c>
      <c r="J22" s="36">
        <f t="shared" si="5"/>
        <v>0.833020637898687</v>
      </c>
      <c r="K22" s="35">
        <f t="shared" si="6"/>
        <v>0.00540540540540541</v>
      </c>
      <c r="L22" s="98">
        <f t="shared" si="7"/>
        <v>0.0393996247654784</v>
      </c>
      <c r="M22" s="99">
        <f t="shared" si="8"/>
        <v>0.0299780589343668</v>
      </c>
      <c r="N22" s="73">
        <v>444</v>
      </c>
      <c r="O22" s="73">
        <v>555</v>
      </c>
      <c r="P22" s="73">
        <v>3</v>
      </c>
      <c r="Q22" s="73">
        <v>533</v>
      </c>
      <c r="R22" s="73">
        <v>21</v>
      </c>
      <c r="S22" s="70">
        <v>89531.601</v>
      </c>
    </row>
    <row r="23" s="31" customFormat="1" spans="1:19">
      <c r="A23" s="31" t="s">
        <v>74</v>
      </c>
      <c r="B23" s="31" t="s">
        <v>70</v>
      </c>
      <c r="C23" s="49" t="s">
        <v>75</v>
      </c>
      <c r="D23" s="55">
        <v>27811.320754717</v>
      </c>
      <c r="E23" s="55">
        <v>188095</v>
      </c>
      <c r="F23" s="32">
        <f t="shared" si="2"/>
        <v>1.50820543080054</v>
      </c>
      <c r="G23" s="65">
        <f>VLOOKUP(C23,[1]长险价值!$B:$K,10,0)</f>
        <v>0</v>
      </c>
      <c r="H23" s="81">
        <f t="shared" si="3"/>
        <v>1.50820543080054</v>
      </c>
      <c r="I23" s="51">
        <f t="shared" si="4"/>
        <v>895.690476190476</v>
      </c>
      <c r="J23" s="36">
        <f t="shared" si="5"/>
        <v>0.8</v>
      </c>
      <c r="K23" s="35">
        <f t="shared" si="6"/>
        <v>0.00462962962962963</v>
      </c>
      <c r="L23" s="98">
        <f t="shared" si="7"/>
        <v>0.00952380952380952</v>
      </c>
      <c r="M23" s="99">
        <f t="shared" si="8"/>
        <v>0.0140445966999174</v>
      </c>
      <c r="N23" s="73">
        <v>168</v>
      </c>
      <c r="O23" s="73">
        <v>216</v>
      </c>
      <c r="P23" s="73">
        <v>1</v>
      </c>
      <c r="Q23" s="73">
        <v>210</v>
      </c>
      <c r="R23" s="73">
        <v>2</v>
      </c>
      <c r="S23" s="70">
        <v>41945.185</v>
      </c>
    </row>
    <row r="24" s="31" customFormat="1" spans="1:19">
      <c r="A24" s="31" t="s">
        <v>39</v>
      </c>
      <c r="B24" s="31" t="s">
        <v>70</v>
      </c>
      <c r="C24" s="49" t="s">
        <v>76</v>
      </c>
      <c r="D24" s="55">
        <v>613.20754716981</v>
      </c>
      <c r="E24" s="55">
        <v>3882</v>
      </c>
      <c r="F24" s="32">
        <f t="shared" si="2"/>
        <v>1.4117340923077</v>
      </c>
      <c r="G24" s="65">
        <f>VLOOKUP(C24,[1]长险价值!$B:$K,10,0)</f>
        <v>0.0765817287549082</v>
      </c>
      <c r="H24" s="81">
        <f t="shared" si="3"/>
        <v>1.4883158210626</v>
      </c>
      <c r="I24" s="101">
        <f t="shared" si="4"/>
        <v>776.4</v>
      </c>
      <c r="J24" s="99">
        <f t="shared" si="5"/>
        <v>0.2</v>
      </c>
      <c r="K24" s="35">
        <f t="shared" si="6"/>
        <v>0</v>
      </c>
      <c r="L24" s="102">
        <f t="shared" si="7"/>
        <v>0</v>
      </c>
      <c r="M24" s="99">
        <f t="shared" si="8"/>
        <v>0.000289859509232458</v>
      </c>
      <c r="N24" s="73">
        <v>1</v>
      </c>
      <c r="O24" s="73">
        <v>5</v>
      </c>
      <c r="P24" s="73">
        <v>0</v>
      </c>
      <c r="Q24" s="73">
        <v>5</v>
      </c>
      <c r="R24" s="73">
        <v>0</v>
      </c>
      <c r="S24" s="70">
        <v>865.686</v>
      </c>
    </row>
    <row r="25" s="78" customFormat="1" spans="1:19">
      <c r="A25" s="31" t="s">
        <v>40</v>
      </c>
      <c r="B25" s="31" t="s">
        <v>70</v>
      </c>
      <c r="C25" s="49" t="s">
        <v>77</v>
      </c>
      <c r="D25" s="55">
        <v>12141.5094339623</v>
      </c>
      <c r="E25" s="55">
        <v>76238</v>
      </c>
      <c r="F25" s="32">
        <f t="shared" si="2"/>
        <v>1.40024385703185</v>
      </c>
      <c r="G25" s="65">
        <f>VLOOKUP(C25,[1]长险价值!$B:$K,10,0)</f>
        <v>0.094316228443517</v>
      </c>
      <c r="H25" s="81">
        <f t="shared" si="3"/>
        <v>1.49456008547537</v>
      </c>
      <c r="I25" s="101">
        <f t="shared" si="4"/>
        <v>785.958762886598</v>
      </c>
      <c r="J25" s="99">
        <f t="shared" si="5"/>
        <v>0.814432989690722</v>
      </c>
      <c r="K25" s="35">
        <f t="shared" si="6"/>
        <v>0</v>
      </c>
      <c r="L25" s="102">
        <f t="shared" si="7"/>
        <v>0.0824742268041237</v>
      </c>
      <c r="M25" s="99">
        <f t="shared" si="8"/>
        <v>0.00569250625060901</v>
      </c>
      <c r="N25" s="73">
        <v>79</v>
      </c>
      <c r="O25" s="73">
        <v>100</v>
      </c>
      <c r="P25" s="73">
        <v>0</v>
      </c>
      <c r="Q25" s="73">
        <v>97</v>
      </c>
      <c r="R25" s="73">
        <v>8</v>
      </c>
      <c r="S25" s="70">
        <v>17001.074</v>
      </c>
    </row>
    <row r="26" s="78" customFormat="1" spans="1:19">
      <c r="A26" s="31" t="s">
        <v>78</v>
      </c>
      <c r="B26" s="31" t="s">
        <v>70</v>
      </c>
      <c r="C26" s="49" t="s">
        <v>79</v>
      </c>
      <c r="D26" s="55">
        <v>12150.9433962264</v>
      </c>
      <c r="E26" s="55">
        <v>80929</v>
      </c>
      <c r="F26" s="32">
        <f t="shared" si="2"/>
        <v>1.48524821583851</v>
      </c>
      <c r="G26" s="65">
        <f>VLOOKUP(C26,[1]长险价值!$B:$K,10,0)</f>
        <v>0.210244650803723</v>
      </c>
      <c r="H26" s="81">
        <f t="shared" si="3"/>
        <v>1.69549286664223</v>
      </c>
      <c r="I26" s="101">
        <f t="shared" si="4"/>
        <v>909.314606741573</v>
      </c>
      <c r="J26" s="99">
        <f t="shared" si="5"/>
        <v>0.898876404494382</v>
      </c>
      <c r="K26" s="35">
        <f t="shared" si="6"/>
        <v>0</v>
      </c>
      <c r="L26" s="102">
        <f t="shared" si="7"/>
        <v>0.0224719101123595</v>
      </c>
      <c r="M26" s="99">
        <f t="shared" si="8"/>
        <v>0.00604277182449089</v>
      </c>
      <c r="N26" s="73">
        <v>80</v>
      </c>
      <c r="O26" s="73">
        <v>94</v>
      </c>
      <c r="P26" s="73">
        <v>0</v>
      </c>
      <c r="Q26" s="73">
        <v>89</v>
      </c>
      <c r="R26" s="73">
        <v>2</v>
      </c>
      <c r="S26" s="70">
        <v>18047.167</v>
      </c>
    </row>
    <row r="27" spans="1:19">
      <c r="A27" s="62" t="s">
        <v>80</v>
      </c>
      <c r="B27" s="62" t="s">
        <v>80</v>
      </c>
      <c r="C27" s="62"/>
      <c r="D27" s="82">
        <f>SUM(D19:D26)</f>
        <v>1890070.75471698</v>
      </c>
      <c r="E27" s="82">
        <f>SUM(E19:E26)</f>
        <v>13392695</v>
      </c>
      <c r="F27" s="32">
        <f t="shared" si="2"/>
        <v>1.58013713378006</v>
      </c>
      <c r="G27" s="65">
        <v>0.12899712984943</v>
      </c>
      <c r="H27" s="81">
        <f t="shared" si="3"/>
        <v>1.70913426362949</v>
      </c>
      <c r="I27" s="51">
        <f t="shared" si="4"/>
        <v>920.966510796314</v>
      </c>
      <c r="J27" s="36">
        <f t="shared" si="5"/>
        <v>0.796451657268601</v>
      </c>
      <c r="K27" s="35">
        <f t="shared" si="6"/>
        <v>0.00918267665255617</v>
      </c>
      <c r="L27" s="98">
        <f t="shared" si="7"/>
        <v>0.0398844725622335</v>
      </c>
      <c r="M27" s="99">
        <f t="shared" si="8"/>
        <v>1</v>
      </c>
      <c r="N27" s="74">
        <f>SUM(N19:N26)</f>
        <v>11582</v>
      </c>
      <c r="O27" s="74">
        <f t="shared" ref="N27:S27" si="9">SUM(O19:O26)</f>
        <v>15355</v>
      </c>
      <c r="P27" s="74">
        <f t="shared" si="9"/>
        <v>141</v>
      </c>
      <c r="Q27" s="74">
        <f t="shared" si="9"/>
        <v>14542</v>
      </c>
      <c r="R27" s="74">
        <f t="shared" si="9"/>
        <v>580</v>
      </c>
      <c r="S27" s="71">
        <f t="shared" si="9"/>
        <v>2986570.985</v>
      </c>
    </row>
    <row r="28" spans="5:19">
      <c r="E28" s="31"/>
      <c r="F28" s="31"/>
      <c r="G28" s="31"/>
      <c r="H28" s="31"/>
      <c r="L28" s="31"/>
      <c r="N28" s="31"/>
      <c r="P28" s="31"/>
      <c r="Q28" s="31"/>
      <c r="R28" s="31"/>
      <c r="S28" s="104"/>
    </row>
    <row r="29" spans="6:19">
      <c r="F29" s="31"/>
      <c r="G29" s="31"/>
      <c r="H29" s="31"/>
      <c r="L29" s="31"/>
      <c r="N29" s="31"/>
      <c r="P29" s="31"/>
      <c r="Q29" s="31"/>
      <c r="R29" s="31"/>
      <c r="S29" s="31"/>
    </row>
    <row r="30" spans="1:19">
      <c r="A30" s="31" t="s">
        <v>81</v>
      </c>
      <c r="E30" s="31"/>
      <c r="F30" s="31"/>
      <c r="G30" s="31"/>
      <c r="H30" s="31"/>
      <c r="L30" s="31"/>
      <c r="N30" s="31"/>
      <c r="P30" s="31"/>
      <c r="Q30" s="31"/>
      <c r="R30" s="31"/>
      <c r="S30" s="31"/>
    </row>
    <row r="31" spans="1:19">
      <c r="A31" s="83" t="s">
        <v>82</v>
      </c>
      <c r="B31" s="83" t="s">
        <v>83</v>
      </c>
      <c r="C31" s="83" t="s">
        <v>84</v>
      </c>
      <c r="D31" s="83" t="s">
        <v>85</v>
      </c>
      <c r="E31" s="83" t="s">
        <v>86</v>
      </c>
      <c r="F31" s="84" t="s">
        <v>87</v>
      </c>
      <c r="G31" s="83" t="s">
        <v>88</v>
      </c>
      <c r="H31" s="31"/>
      <c r="L31" s="31"/>
      <c r="N31" s="31"/>
      <c r="P31" s="31"/>
      <c r="Q31" s="31"/>
      <c r="R31" s="31"/>
      <c r="S31" s="31"/>
    </row>
    <row r="32" spans="1:19">
      <c r="A32" s="85" t="s">
        <v>89</v>
      </c>
      <c r="B32" s="85" t="s">
        <v>90</v>
      </c>
      <c r="C32" s="85" t="s">
        <v>91</v>
      </c>
      <c r="D32" s="85" t="s">
        <v>92</v>
      </c>
      <c r="E32" s="85" t="s">
        <v>93</v>
      </c>
      <c r="F32" s="86" t="s">
        <v>94</v>
      </c>
      <c r="G32" s="85" t="s">
        <v>95</v>
      </c>
      <c r="H32" s="31"/>
      <c r="L32" s="31"/>
      <c r="N32" s="31"/>
      <c r="P32" s="31"/>
      <c r="Q32" s="31"/>
      <c r="R32" s="31"/>
      <c r="S32" s="31"/>
    </row>
    <row r="33" spans="1:19">
      <c r="A33" s="85" t="s">
        <v>96</v>
      </c>
      <c r="B33" s="85" t="s">
        <v>90</v>
      </c>
      <c r="C33" s="85" t="s">
        <v>97</v>
      </c>
      <c r="D33" s="85" t="s">
        <v>92</v>
      </c>
      <c r="E33" s="85" t="s">
        <v>98</v>
      </c>
      <c r="F33" s="86" t="s">
        <v>94</v>
      </c>
      <c r="G33" s="85" t="s">
        <v>95</v>
      </c>
      <c r="H33" s="31"/>
      <c r="L33" s="31"/>
      <c r="N33" s="31"/>
      <c r="P33" s="31"/>
      <c r="Q33" s="31"/>
      <c r="R33" s="31"/>
      <c r="S33" s="31"/>
    </row>
    <row r="34" spans="1:19">
      <c r="A34" s="85" t="s">
        <v>39</v>
      </c>
      <c r="B34" s="85" t="s">
        <v>90</v>
      </c>
      <c r="C34" s="85" t="s">
        <v>99</v>
      </c>
      <c r="D34" s="85" t="s">
        <v>100</v>
      </c>
      <c r="E34" s="85" t="s">
        <v>101</v>
      </c>
      <c r="F34" s="86" t="s">
        <v>94</v>
      </c>
      <c r="G34" s="85" t="s">
        <v>95</v>
      </c>
      <c r="H34" s="31"/>
      <c r="L34" s="31"/>
      <c r="N34" s="31"/>
      <c r="P34" s="31"/>
      <c r="Q34" s="31"/>
      <c r="R34" s="31"/>
      <c r="S34" s="31"/>
    </row>
    <row r="35" spans="1:19">
      <c r="A35" s="85" t="s">
        <v>40</v>
      </c>
      <c r="B35" s="85" t="s">
        <v>90</v>
      </c>
      <c r="C35" s="85" t="s">
        <v>28</v>
      </c>
      <c r="D35" s="85" t="s">
        <v>100</v>
      </c>
      <c r="E35" s="85" t="s">
        <v>101</v>
      </c>
      <c r="F35" s="86" t="s">
        <v>94</v>
      </c>
      <c r="G35" s="85" t="s">
        <v>95</v>
      </c>
      <c r="H35" s="31"/>
      <c r="L35" s="31"/>
      <c r="N35" s="31"/>
      <c r="P35" s="31"/>
      <c r="Q35" s="31"/>
      <c r="R35" s="31"/>
      <c r="S35" s="31"/>
    </row>
    <row r="36" spans="1:19">
      <c r="A36" s="87" t="s">
        <v>102</v>
      </c>
      <c r="B36" s="87" t="s">
        <v>103</v>
      </c>
      <c r="C36" s="87" t="s">
        <v>104</v>
      </c>
      <c r="D36" s="87" t="s">
        <v>100</v>
      </c>
      <c r="E36" s="87" t="s">
        <v>93</v>
      </c>
      <c r="F36" s="88" t="s">
        <v>105</v>
      </c>
      <c r="G36" s="88" t="s">
        <v>106</v>
      </c>
      <c r="H36" s="31"/>
      <c r="L36" s="31"/>
      <c r="N36" s="31"/>
      <c r="P36" s="31"/>
      <c r="Q36" s="31"/>
      <c r="R36" s="31"/>
      <c r="S36" s="31"/>
    </row>
    <row r="37" spans="1:19">
      <c r="A37" s="87" t="s">
        <v>78</v>
      </c>
      <c r="B37" s="87" t="s">
        <v>103</v>
      </c>
      <c r="C37" s="87" t="s">
        <v>107</v>
      </c>
      <c r="D37" s="87" t="s">
        <v>92</v>
      </c>
      <c r="E37" s="87" t="s">
        <v>108</v>
      </c>
      <c r="F37" s="88"/>
      <c r="G37" s="88" t="s">
        <v>109</v>
      </c>
      <c r="H37" s="31"/>
      <c r="L37" s="31"/>
      <c r="N37" s="31"/>
      <c r="P37" s="31"/>
      <c r="Q37" s="31"/>
      <c r="R37" s="31"/>
      <c r="S37" s="31"/>
    </row>
    <row r="38" spans="1:19">
      <c r="A38" s="87" t="s">
        <v>74</v>
      </c>
      <c r="B38" s="87" t="s">
        <v>103</v>
      </c>
      <c r="C38" s="87" t="s">
        <v>110</v>
      </c>
      <c r="D38" s="87" t="s">
        <v>111</v>
      </c>
      <c r="E38" s="87" t="s">
        <v>112</v>
      </c>
      <c r="F38" s="88"/>
      <c r="G38" s="88" t="s">
        <v>113</v>
      </c>
      <c r="H38" s="31"/>
      <c r="L38" s="31"/>
      <c r="N38" s="31"/>
      <c r="P38" s="31"/>
      <c r="Q38" s="31"/>
      <c r="R38" s="31"/>
      <c r="S38" s="31"/>
    </row>
    <row r="39" spans="5:19">
      <c r="E39" s="31"/>
      <c r="F39" s="31"/>
      <c r="G39" s="31"/>
      <c r="H39" s="31"/>
      <c r="L39" s="31"/>
      <c r="N39" s="31"/>
      <c r="P39" s="31"/>
      <c r="Q39" s="31"/>
      <c r="R39" s="31"/>
      <c r="S39" s="31"/>
    </row>
    <row r="40" hidden="1" spans="5:19">
      <c r="E40" s="31"/>
      <c r="F40" s="31"/>
      <c r="G40" s="31"/>
      <c r="H40" s="31"/>
      <c r="L40" s="31"/>
      <c r="N40" s="31"/>
      <c r="P40" s="31"/>
      <c r="Q40" s="31"/>
      <c r="R40" s="31"/>
      <c r="S40" s="31"/>
    </row>
    <row r="41" hidden="1" spans="1:19">
      <c r="A41" s="83" t="s">
        <v>82</v>
      </c>
      <c r="B41" s="83" t="s">
        <v>114</v>
      </c>
      <c r="C41" s="89" t="s">
        <v>115</v>
      </c>
      <c r="D41" s="90"/>
      <c r="E41" s="90"/>
      <c r="F41" s="90"/>
      <c r="G41" s="90"/>
      <c r="H41" s="91"/>
      <c r="L41" s="31"/>
      <c r="N41" s="31"/>
      <c r="P41" s="31"/>
      <c r="Q41" s="31"/>
      <c r="R41" s="31"/>
      <c r="S41" s="31"/>
    </row>
    <row r="42" hidden="1" spans="1:19">
      <c r="A42" s="92" t="s">
        <v>116</v>
      </c>
      <c r="B42" s="93">
        <v>0.00886777789089212</v>
      </c>
      <c r="C42" s="94" t="s">
        <v>117</v>
      </c>
      <c r="D42" s="95"/>
      <c r="E42" s="95"/>
      <c r="F42" s="95"/>
      <c r="G42" s="95"/>
      <c r="H42" s="96"/>
      <c r="L42" s="31"/>
      <c r="N42" s="31"/>
      <c r="P42" s="31"/>
      <c r="Q42" s="31"/>
      <c r="R42" s="31"/>
      <c r="S42" s="31"/>
    </row>
    <row r="43" hidden="1" spans="1:19">
      <c r="A43" s="92" t="s">
        <v>118</v>
      </c>
      <c r="B43" s="93">
        <v>0.0112552822149357</v>
      </c>
      <c r="C43" s="94" t="s">
        <v>119</v>
      </c>
      <c r="D43" s="95"/>
      <c r="E43" s="95"/>
      <c r="F43" s="95"/>
      <c r="G43" s="95"/>
      <c r="H43" s="96"/>
      <c r="L43" s="31"/>
      <c r="N43" s="31"/>
      <c r="P43" s="31"/>
      <c r="Q43" s="31"/>
      <c r="R43" s="31"/>
      <c r="S43" s="31"/>
    </row>
    <row r="44" hidden="1" spans="1:19">
      <c r="A44" s="97">
        <v>0.269233662978385</v>
      </c>
      <c r="B44" s="97"/>
      <c r="C44" s="94"/>
      <c r="D44" s="95"/>
      <c r="E44" s="95"/>
      <c r="F44" s="95"/>
      <c r="G44" s="95"/>
      <c r="H44" s="96"/>
      <c r="L44" s="31"/>
      <c r="N44" s="31"/>
      <c r="P44" s="31"/>
      <c r="Q44" s="31"/>
      <c r="R44" s="31"/>
      <c r="S44" s="31"/>
    </row>
    <row r="45" hidden="1" spans="1:19">
      <c r="A45" s="92" t="s">
        <v>120</v>
      </c>
      <c r="B45" s="93">
        <v>0.0077</v>
      </c>
      <c r="C45" s="94" t="s">
        <v>121</v>
      </c>
      <c r="D45" s="95"/>
      <c r="E45" s="95"/>
      <c r="F45" s="95"/>
      <c r="G45" s="95"/>
      <c r="H45" s="96"/>
      <c r="L45" s="31"/>
      <c r="N45" s="31"/>
      <c r="P45" s="31"/>
      <c r="Q45" s="31"/>
      <c r="R45" s="31"/>
      <c r="S45" s="31"/>
    </row>
    <row r="46" hidden="1" spans="1:19">
      <c r="A46" s="92" t="s">
        <v>122</v>
      </c>
      <c r="B46" s="93">
        <v>0.0122</v>
      </c>
      <c r="C46" s="94" t="s">
        <v>123</v>
      </c>
      <c r="D46" s="95"/>
      <c r="E46" s="95"/>
      <c r="F46" s="95"/>
      <c r="G46" s="95"/>
      <c r="H46" s="96"/>
      <c r="L46" s="31"/>
      <c r="N46" s="31"/>
      <c r="P46" s="31"/>
      <c r="Q46" s="31"/>
      <c r="R46" s="31"/>
      <c r="S46" s="31"/>
    </row>
    <row r="47" hidden="1" spans="1:19">
      <c r="A47" s="97">
        <v>0.584415584415584</v>
      </c>
      <c r="B47" s="97"/>
      <c r="C47" s="94"/>
      <c r="D47" s="95"/>
      <c r="E47" s="95"/>
      <c r="F47" s="95"/>
      <c r="G47" s="95"/>
      <c r="H47" s="96"/>
      <c r="L47" s="31"/>
      <c r="N47" s="31"/>
      <c r="P47" s="31"/>
      <c r="Q47" s="31"/>
      <c r="R47" s="31"/>
      <c r="S47" s="31"/>
    </row>
    <row r="48" spans="5:19">
      <c r="E48" s="31"/>
      <c r="F48" s="31"/>
      <c r="G48" s="31"/>
      <c r="H48" s="31"/>
      <c r="L48" s="31"/>
      <c r="N48" s="31"/>
      <c r="P48" s="31"/>
      <c r="Q48" s="31"/>
      <c r="R48" s="31"/>
      <c r="S48" s="31"/>
    </row>
    <row r="49" spans="5:19">
      <c r="E49" s="31"/>
      <c r="F49" s="31"/>
      <c r="G49" s="31"/>
      <c r="H49" s="31"/>
      <c r="L49" s="31"/>
      <c r="N49" s="31"/>
      <c r="P49" s="31"/>
      <c r="Q49" s="31"/>
      <c r="R49" s="31"/>
      <c r="S49" s="31"/>
    </row>
    <row r="50" spans="5:19">
      <c r="E50" s="31"/>
      <c r="F50" s="31"/>
      <c r="G50" s="31"/>
      <c r="H50" s="31"/>
      <c r="L50" s="31"/>
      <c r="N50" s="31"/>
      <c r="P50" s="31"/>
      <c r="Q50" s="31"/>
      <c r="R50" s="31"/>
      <c r="S50" s="31"/>
    </row>
    <row r="51" spans="5:19">
      <c r="E51" s="31"/>
      <c r="F51" s="31"/>
      <c r="G51" s="31"/>
      <c r="H51" s="31"/>
      <c r="L51" s="31"/>
      <c r="N51" s="31"/>
      <c r="P51" s="31"/>
      <c r="Q51" s="31"/>
      <c r="R51" s="31"/>
      <c r="S51" s="31"/>
    </row>
    <row r="52" spans="5:19">
      <c r="E52" s="31"/>
      <c r="F52" s="31"/>
      <c r="G52" s="31"/>
      <c r="H52" s="31"/>
      <c r="L52" s="31"/>
      <c r="N52" s="31"/>
      <c r="P52" s="31"/>
      <c r="Q52" s="31"/>
      <c r="R52" s="31"/>
      <c r="S52" s="31"/>
    </row>
    <row r="53" spans="5:19">
      <c r="E53" s="31"/>
      <c r="F53" s="31"/>
      <c r="G53" s="31"/>
      <c r="H53" s="31"/>
      <c r="L53" s="31"/>
      <c r="N53" s="31"/>
      <c r="P53" s="31"/>
      <c r="Q53" s="31"/>
      <c r="R53" s="31"/>
      <c r="S53" s="31"/>
    </row>
    <row r="54" spans="5:19">
      <c r="E54" s="31"/>
      <c r="F54" s="31"/>
      <c r="G54" s="31"/>
      <c r="H54" s="31"/>
      <c r="L54" s="31"/>
      <c r="N54" s="31"/>
      <c r="P54" s="31"/>
      <c r="Q54" s="31"/>
      <c r="R54" s="31"/>
      <c r="S54" s="31"/>
    </row>
    <row r="55" spans="5:19">
      <c r="E55" s="31"/>
      <c r="F55" s="31"/>
      <c r="G55" s="31"/>
      <c r="H55" s="31"/>
      <c r="L55" s="31"/>
      <c r="N55" s="31"/>
      <c r="P55" s="31"/>
      <c r="Q55" s="31"/>
      <c r="R55" s="31"/>
      <c r="S55" s="31"/>
    </row>
    <row r="56" spans="5:19">
      <c r="E56" s="31"/>
      <c r="F56" s="31"/>
      <c r="G56" s="31"/>
      <c r="H56" s="31"/>
      <c r="L56" s="31"/>
      <c r="N56" s="31"/>
      <c r="P56" s="31"/>
      <c r="Q56" s="31"/>
      <c r="R56" s="31"/>
      <c r="S56" s="31"/>
    </row>
    <row r="57" spans="5:19">
      <c r="E57" s="31"/>
      <c r="F57" s="31"/>
      <c r="G57" s="31"/>
      <c r="H57" s="31"/>
      <c r="L57" s="31"/>
      <c r="N57" s="31"/>
      <c r="P57" s="31"/>
      <c r="Q57" s="31"/>
      <c r="R57" s="31"/>
      <c r="S57" s="31"/>
    </row>
    <row r="58" spans="5:19">
      <c r="E58" s="31"/>
      <c r="F58" s="31"/>
      <c r="G58" s="31"/>
      <c r="H58" s="31"/>
      <c r="L58" s="31"/>
      <c r="N58" s="31"/>
      <c r="P58" s="31"/>
      <c r="Q58" s="31"/>
      <c r="R58" s="31"/>
      <c r="S58" s="31"/>
    </row>
    <row r="59" spans="5:19">
      <c r="E59" s="31"/>
      <c r="F59" s="31"/>
      <c r="G59" s="31"/>
      <c r="H59" s="31"/>
      <c r="L59" s="31"/>
      <c r="N59" s="31"/>
      <c r="P59" s="31"/>
      <c r="Q59" s="31"/>
      <c r="R59" s="31"/>
      <c r="S59" s="31"/>
    </row>
    <row r="60" spans="5:19">
      <c r="E60" s="31"/>
      <c r="F60" s="31"/>
      <c r="G60" s="31"/>
      <c r="H60" s="31"/>
      <c r="L60" s="31"/>
      <c r="N60" s="31"/>
      <c r="P60" s="31"/>
      <c r="Q60" s="31"/>
      <c r="R60" s="31"/>
      <c r="S60" s="31"/>
    </row>
    <row r="61" spans="5:19">
      <c r="E61" s="31"/>
      <c r="F61" s="31"/>
      <c r="G61" s="31"/>
      <c r="H61" s="31"/>
      <c r="L61" s="31"/>
      <c r="N61" s="31"/>
      <c r="P61" s="31"/>
      <c r="Q61" s="31"/>
      <c r="R61" s="31"/>
      <c r="S61" s="31"/>
    </row>
    <row r="62" spans="5:19">
      <c r="E62" s="31"/>
      <c r="F62" s="31"/>
      <c r="G62" s="31"/>
      <c r="H62" s="31"/>
      <c r="L62" s="31"/>
      <c r="N62" s="31"/>
      <c r="P62" s="31"/>
      <c r="Q62" s="31"/>
      <c r="R62" s="31"/>
      <c r="S62" s="31"/>
    </row>
    <row r="63" spans="5:19">
      <c r="E63" s="31"/>
      <c r="F63" s="31"/>
      <c r="G63" s="31"/>
      <c r="H63" s="31"/>
      <c r="L63" s="31"/>
      <c r="N63" s="31"/>
      <c r="P63" s="31"/>
      <c r="Q63" s="31"/>
      <c r="R63" s="31"/>
      <c r="S63" s="31"/>
    </row>
    <row r="64" spans="5:19">
      <c r="E64" s="31"/>
      <c r="F64" s="31"/>
      <c r="G64" s="31"/>
      <c r="H64" s="31"/>
      <c r="L64" s="31"/>
      <c r="N64" s="31"/>
      <c r="P64" s="31"/>
      <c r="Q64" s="31"/>
      <c r="R64" s="31"/>
      <c r="S64" s="31"/>
    </row>
    <row r="65" spans="5:19">
      <c r="E65" s="31"/>
      <c r="F65" s="31"/>
      <c r="G65" s="31"/>
      <c r="H65" s="31"/>
      <c r="L65" s="31"/>
      <c r="N65" s="31"/>
      <c r="P65" s="31"/>
      <c r="Q65" s="31"/>
      <c r="R65" s="31"/>
      <c r="S65" s="31"/>
    </row>
    <row r="66" spans="5:19">
      <c r="E66" s="31"/>
      <c r="F66" s="31"/>
      <c r="G66" s="31"/>
      <c r="H66" s="31"/>
      <c r="L66" s="31"/>
      <c r="N66" s="31"/>
      <c r="P66" s="31"/>
      <c r="Q66" s="31"/>
      <c r="R66" s="31"/>
      <c r="S66" s="31"/>
    </row>
    <row r="67" spans="5:19">
      <c r="E67" s="31"/>
      <c r="F67" s="31"/>
      <c r="G67" s="31"/>
      <c r="H67" s="31"/>
      <c r="L67" s="31"/>
      <c r="N67" s="31"/>
      <c r="P67" s="31"/>
      <c r="Q67" s="31"/>
      <c r="R67" s="31"/>
      <c r="S67" s="31"/>
    </row>
    <row r="68" spans="5:19">
      <c r="E68" s="31"/>
      <c r="F68" s="31"/>
      <c r="G68" s="31"/>
      <c r="H68" s="31"/>
      <c r="L68" s="31"/>
      <c r="N68" s="31"/>
      <c r="P68" s="31"/>
      <c r="Q68" s="31"/>
      <c r="R68" s="31"/>
      <c r="S68" s="31"/>
    </row>
    <row r="69" spans="5:19">
      <c r="E69" s="31"/>
      <c r="F69" s="31"/>
      <c r="G69" s="31"/>
      <c r="H69" s="31"/>
      <c r="L69" s="31"/>
      <c r="N69" s="31"/>
      <c r="P69" s="31"/>
      <c r="Q69" s="31"/>
      <c r="R69" s="31"/>
      <c r="S69" s="31"/>
    </row>
    <row r="70" spans="5:19">
      <c r="E70" s="31"/>
      <c r="F70" s="31"/>
      <c r="G70" s="31"/>
      <c r="H70" s="31"/>
      <c r="L70" s="31"/>
      <c r="N70" s="31"/>
      <c r="P70" s="31"/>
      <c r="Q70" s="31"/>
      <c r="R70" s="31"/>
      <c r="S70" s="31"/>
    </row>
    <row r="71" spans="5:19">
      <c r="E71" s="31"/>
      <c r="F71" s="31"/>
      <c r="G71" s="31"/>
      <c r="H71" s="31"/>
      <c r="L71" s="31"/>
      <c r="N71" s="31"/>
      <c r="P71" s="31"/>
      <c r="Q71" s="31"/>
      <c r="R71" s="31"/>
      <c r="S71" s="31"/>
    </row>
    <row r="72" spans="5:19">
      <c r="E72" s="31"/>
      <c r="F72" s="31"/>
      <c r="G72" s="31"/>
      <c r="H72" s="31"/>
      <c r="L72" s="31"/>
      <c r="N72" s="31"/>
      <c r="P72" s="31"/>
      <c r="Q72" s="31"/>
      <c r="R72" s="31"/>
      <c r="S72" s="31"/>
    </row>
    <row r="73" spans="5:19">
      <c r="E73" s="31"/>
      <c r="F73" s="31"/>
      <c r="G73" s="31"/>
      <c r="H73" s="31"/>
      <c r="L73" s="31"/>
      <c r="N73" s="31"/>
      <c r="P73" s="31"/>
      <c r="Q73" s="31"/>
      <c r="R73" s="31"/>
      <c r="S73" s="31"/>
    </row>
    <row r="74" spans="5:19">
      <c r="E74" s="31"/>
      <c r="F74" s="31"/>
      <c r="G74" s="31"/>
      <c r="H74" s="31"/>
      <c r="L74" s="31"/>
      <c r="N74" s="31"/>
      <c r="P74" s="31"/>
      <c r="Q74" s="31"/>
      <c r="R74" s="31"/>
      <c r="S74" s="31"/>
    </row>
    <row r="75" spans="5:19">
      <c r="E75" s="31"/>
      <c r="F75" s="31"/>
      <c r="G75" s="31"/>
      <c r="H75" s="31"/>
      <c r="L75" s="31"/>
      <c r="N75" s="31"/>
      <c r="P75" s="31"/>
      <c r="Q75" s="31"/>
      <c r="R75" s="31"/>
      <c r="S75" s="31"/>
    </row>
    <row r="76" spans="5:19">
      <c r="E76" s="31"/>
      <c r="F76" s="31"/>
      <c r="G76" s="31"/>
      <c r="H76" s="31"/>
      <c r="L76" s="31"/>
      <c r="N76" s="31"/>
      <c r="P76" s="31"/>
      <c r="Q76" s="31"/>
      <c r="R76" s="31"/>
      <c r="S76" s="31"/>
    </row>
    <row r="77" spans="5:19">
      <c r="E77" s="31"/>
      <c r="F77" s="31"/>
      <c r="G77" s="31"/>
      <c r="H77" s="31"/>
      <c r="L77" s="31"/>
      <c r="N77" s="31"/>
      <c r="P77" s="31"/>
      <c r="Q77" s="31"/>
      <c r="R77" s="31"/>
      <c r="S77" s="31"/>
    </row>
    <row r="78" spans="5:19">
      <c r="E78" s="31"/>
      <c r="F78" s="31"/>
      <c r="G78" s="31"/>
      <c r="H78" s="31"/>
      <c r="L78" s="31"/>
      <c r="N78" s="31"/>
      <c r="P78" s="31"/>
      <c r="Q78" s="31"/>
      <c r="R78" s="31"/>
      <c r="S78" s="31"/>
    </row>
    <row r="79" spans="5:19">
      <c r="E79" s="31"/>
      <c r="F79" s="31"/>
      <c r="G79" s="31"/>
      <c r="H79" s="31"/>
      <c r="L79" s="31"/>
      <c r="N79" s="31"/>
      <c r="P79" s="31"/>
      <c r="Q79" s="31"/>
      <c r="R79" s="31"/>
      <c r="S79" s="31"/>
    </row>
    <row r="80" spans="5:19">
      <c r="E80" s="31"/>
      <c r="F80" s="31"/>
      <c r="G80" s="31"/>
      <c r="H80" s="31"/>
      <c r="L80" s="31"/>
      <c r="N80" s="31"/>
      <c r="P80" s="31"/>
      <c r="Q80" s="31"/>
      <c r="R80" s="31"/>
      <c r="S80" s="31"/>
    </row>
    <row r="81" spans="5:19">
      <c r="E81" s="31"/>
      <c r="F81" s="31"/>
      <c r="G81" s="31"/>
      <c r="H81" s="31"/>
      <c r="L81" s="31"/>
      <c r="N81" s="31"/>
      <c r="P81" s="31"/>
      <c r="Q81" s="31"/>
      <c r="R81" s="31"/>
      <c r="S81" s="31"/>
    </row>
    <row r="82" spans="5:19">
      <c r="E82" s="31"/>
      <c r="F82" s="31"/>
      <c r="G82" s="31"/>
      <c r="H82" s="31"/>
      <c r="L82" s="31"/>
      <c r="N82" s="31"/>
      <c r="P82" s="31"/>
      <c r="Q82" s="31"/>
      <c r="R82" s="31"/>
      <c r="S82" s="31"/>
    </row>
    <row r="83" spans="5:19">
      <c r="E83" s="31"/>
      <c r="F83" s="31"/>
      <c r="G83" s="31"/>
      <c r="H83" s="31"/>
      <c r="L83" s="31"/>
      <c r="N83" s="31"/>
      <c r="P83" s="31"/>
      <c r="Q83" s="31"/>
      <c r="R83" s="31"/>
      <c r="S83" s="31"/>
    </row>
    <row r="84" spans="5:19">
      <c r="E84" s="31"/>
      <c r="F84" s="31"/>
      <c r="G84" s="31"/>
      <c r="H84" s="31"/>
      <c r="L84" s="31"/>
      <c r="N84" s="31"/>
      <c r="P84" s="31"/>
      <c r="Q84" s="31"/>
      <c r="R84" s="31"/>
      <c r="S84" s="31"/>
    </row>
    <row r="85" spans="5:19">
      <c r="E85" s="31"/>
      <c r="F85" s="31"/>
      <c r="G85" s="31"/>
      <c r="H85" s="31"/>
      <c r="L85" s="31"/>
      <c r="N85" s="31"/>
      <c r="P85" s="31"/>
      <c r="Q85" s="31"/>
      <c r="R85" s="31"/>
      <c r="S85" s="31"/>
    </row>
    <row r="86" spans="5:19">
      <c r="E86" s="31"/>
      <c r="F86" s="31"/>
      <c r="G86" s="31"/>
      <c r="H86" s="31"/>
      <c r="L86" s="31"/>
      <c r="N86" s="31"/>
      <c r="P86" s="31"/>
      <c r="Q86" s="31"/>
      <c r="R86" s="31"/>
      <c r="S86" s="31"/>
    </row>
    <row r="87" spans="5:19">
      <c r="E87" s="31"/>
      <c r="F87" s="31"/>
      <c r="G87" s="31"/>
      <c r="H87" s="31"/>
      <c r="L87" s="31"/>
      <c r="N87" s="31"/>
      <c r="P87" s="31"/>
      <c r="Q87" s="31"/>
      <c r="R87" s="31"/>
      <c r="S87" s="31"/>
    </row>
    <row r="88" spans="5:19">
      <c r="E88" s="31"/>
      <c r="F88" s="31"/>
      <c r="G88" s="31"/>
      <c r="H88" s="31"/>
      <c r="L88" s="31"/>
      <c r="N88" s="31"/>
      <c r="P88" s="31"/>
      <c r="Q88" s="31"/>
      <c r="R88" s="31"/>
      <c r="S88" s="31"/>
    </row>
    <row r="89" spans="5:19">
      <c r="E89" s="31"/>
      <c r="F89" s="31"/>
      <c r="G89" s="31"/>
      <c r="H89" s="31"/>
      <c r="L89" s="31"/>
      <c r="N89" s="31"/>
      <c r="P89" s="31"/>
      <c r="Q89" s="31"/>
      <c r="R89" s="31"/>
      <c r="S89" s="31"/>
    </row>
    <row r="90" spans="5:19">
      <c r="E90" s="31"/>
      <c r="F90" s="31"/>
      <c r="G90" s="31"/>
      <c r="H90" s="31"/>
      <c r="L90" s="31"/>
      <c r="N90" s="31"/>
      <c r="P90" s="31"/>
      <c r="Q90" s="31"/>
      <c r="R90" s="31"/>
      <c r="S90" s="31"/>
    </row>
    <row r="91" spans="5:19">
      <c r="E91" s="31"/>
      <c r="F91" s="31"/>
      <c r="G91" s="31"/>
      <c r="H91" s="31"/>
      <c r="L91" s="31"/>
      <c r="N91" s="31"/>
      <c r="P91" s="31"/>
      <c r="Q91" s="31"/>
      <c r="R91" s="31"/>
      <c r="S91" s="31"/>
    </row>
    <row r="92" spans="5:19">
      <c r="E92" s="31"/>
      <c r="F92" s="31"/>
      <c r="G92" s="31"/>
      <c r="H92" s="31"/>
      <c r="L92" s="31"/>
      <c r="N92" s="31"/>
      <c r="P92" s="31"/>
      <c r="Q92" s="31"/>
      <c r="R92" s="31"/>
      <c r="S92" s="31"/>
    </row>
    <row r="93" spans="5:19">
      <c r="E93" s="31"/>
      <c r="F93" s="31"/>
      <c r="G93" s="31"/>
      <c r="H93" s="31"/>
      <c r="L93" s="31"/>
      <c r="N93" s="31"/>
      <c r="P93" s="31"/>
      <c r="Q93" s="31"/>
      <c r="R93" s="31"/>
      <c r="S93" s="31"/>
    </row>
    <row r="94" spans="5:19">
      <c r="E94" s="31"/>
      <c r="F94" s="31"/>
      <c r="G94" s="31"/>
      <c r="H94" s="31"/>
      <c r="L94" s="31"/>
      <c r="N94" s="31"/>
      <c r="P94" s="31"/>
      <c r="Q94" s="31"/>
      <c r="R94" s="31"/>
      <c r="S94" s="31"/>
    </row>
  </sheetData>
  <mergeCells count="9">
    <mergeCell ref="C41:H41"/>
    <mergeCell ref="C42:H42"/>
    <mergeCell ref="C43:H43"/>
    <mergeCell ref="A44:B44"/>
    <mergeCell ref="C44:H44"/>
    <mergeCell ref="C45:H45"/>
    <mergeCell ref="C46:H46"/>
    <mergeCell ref="A47:B47"/>
    <mergeCell ref="C47:H47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61"/>
  <sheetViews>
    <sheetView showGridLines="0" tabSelected="1" zoomScale="70" zoomScaleNormal="70" workbookViewId="0">
      <pane topLeftCell="A1" activePane="bottomRight" state="frozen"/>
      <selection activeCell="G17" sqref="G17"/>
    </sheetView>
  </sheetViews>
  <sheetFormatPr defaultColWidth="9.16363636363636" defaultRowHeight="14.5"/>
  <cols>
    <col min="1" max="1" width="12.9090909090909" style="31" customWidth="1"/>
    <col min="2" max="2" width="13.1636363636364" style="31" customWidth="1"/>
    <col min="3" max="3" width="12.5272727272727" style="31" customWidth="1"/>
    <col min="4" max="4" width="11.4818181818182" style="51" customWidth="1"/>
    <col min="5" max="5" width="12.7636363636364" style="33" customWidth="1"/>
    <col min="6" max="8" width="14.0636363636364" style="31" customWidth="1"/>
    <col min="9" max="9" width="12.9545454545455" style="31" customWidth="1"/>
    <col min="10" max="10" width="9.43636363636364" style="31" customWidth="1"/>
    <col min="11" max="11" width="8.53636363636364" style="31" customWidth="1"/>
    <col min="12" max="12" width="10" style="31" customWidth="1"/>
    <col min="13" max="13" width="11.5090909090909" style="31" customWidth="1"/>
    <col min="14" max="14" width="9.75454545454545" style="31" customWidth="1"/>
    <col min="15" max="16" width="11.5" style="52" customWidth="1"/>
    <col min="17" max="17" width="11.8363636363636" style="52" customWidth="1"/>
    <col min="18" max="18" width="11.1636363636364" style="52" customWidth="1"/>
    <col min="19" max="19" width="10.8363636363636" style="33" customWidth="1"/>
    <col min="20" max="20" width="11.8363636363636" style="33" customWidth="1"/>
    <col min="21" max="21" width="10.6636363636364" style="33" customWidth="1"/>
    <col min="22" max="16384" width="9.16363636363636" style="31"/>
  </cols>
  <sheetData>
    <row r="1" s="49" customFormat="1" spans="1:20">
      <c r="A1" s="38" t="s">
        <v>31</v>
      </c>
      <c r="B1" s="38" t="s">
        <v>124</v>
      </c>
      <c r="C1" s="38" t="s">
        <v>125</v>
      </c>
      <c r="D1" s="38" t="s">
        <v>126</v>
      </c>
      <c r="E1" s="38" t="s">
        <v>127</v>
      </c>
      <c r="F1" s="38" t="s">
        <v>128</v>
      </c>
      <c r="G1" s="38" t="s">
        <v>129</v>
      </c>
      <c r="H1" s="38" t="s">
        <v>130</v>
      </c>
      <c r="I1" s="38" t="s">
        <v>30</v>
      </c>
      <c r="N1" s="51"/>
      <c r="O1" s="51"/>
      <c r="P1" s="51"/>
      <c r="Q1" s="51"/>
      <c r="R1" s="51"/>
      <c r="S1" s="51"/>
      <c r="T1" s="51"/>
    </row>
    <row r="2" hidden="1" spans="1:21">
      <c r="A2" s="53" t="s">
        <v>41</v>
      </c>
      <c r="B2" s="33">
        <v>1562954</v>
      </c>
      <c r="C2" s="33">
        <v>1253559</v>
      </c>
      <c r="D2" s="51">
        <v>63955</v>
      </c>
      <c r="E2" s="33">
        <v>125833</v>
      </c>
      <c r="F2" s="33">
        <v>4873</v>
      </c>
      <c r="G2" s="33">
        <v>69693</v>
      </c>
      <c r="I2" s="33">
        <f t="shared" ref="I2:I9" si="0">SUM(B2:G2)</f>
        <v>3080867</v>
      </c>
      <c r="N2" s="52"/>
      <c r="R2" s="33"/>
      <c r="U2" s="31"/>
    </row>
    <row r="3" hidden="1" spans="1:21">
      <c r="A3" s="53" t="s">
        <v>42</v>
      </c>
      <c r="B3" s="33">
        <v>339751</v>
      </c>
      <c r="C3" s="33">
        <v>623025</v>
      </c>
      <c r="D3" s="51">
        <v>63841</v>
      </c>
      <c r="E3" s="33">
        <v>76786</v>
      </c>
      <c r="F3" s="33">
        <v>0</v>
      </c>
      <c r="G3" s="33">
        <v>17540</v>
      </c>
      <c r="I3" s="33">
        <f t="shared" si="0"/>
        <v>1120943</v>
      </c>
      <c r="N3" s="52"/>
      <c r="R3" s="33"/>
      <c r="U3" s="31"/>
    </row>
    <row r="4" hidden="1" spans="1:21">
      <c r="A4" s="53" t="s">
        <v>43</v>
      </c>
      <c r="B4" s="33">
        <v>316857</v>
      </c>
      <c r="C4" s="33">
        <v>483061</v>
      </c>
      <c r="D4" s="51">
        <v>57981</v>
      </c>
      <c r="E4" s="33">
        <v>106224</v>
      </c>
      <c r="F4" s="33">
        <v>2664</v>
      </c>
      <c r="G4" s="33">
        <v>47685</v>
      </c>
      <c r="I4" s="33">
        <f t="shared" si="0"/>
        <v>1014472</v>
      </c>
      <c r="N4" s="52"/>
      <c r="R4" s="33"/>
      <c r="U4" s="31"/>
    </row>
    <row r="5" hidden="1" spans="1:21">
      <c r="A5" s="53" t="s">
        <v>44</v>
      </c>
      <c r="B5" s="33">
        <v>52961</v>
      </c>
      <c r="C5" s="33">
        <v>223165</v>
      </c>
      <c r="D5" s="51">
        <v>53512</v>
      </c>
      <c r="E5" s="33">
        <v>68988</v>
      </c>
      <c r="F5" s="33">
        <v>43108</v>
      </c>
      <c r="G5" s="33">
        <v>11884</v>
      </c>
      <c r="I5" s="33">
        <f t="shared" si="0"/>
        <v>453618</v>
      </c>
      <c r="N5" s="52"/>
      <c r="R5" s="33"/>
      <c r="U5" s="31"/>
    </row>
    <row r="6" spans="1:21">
      <c r="A6" s="53" t="s">
        <v>45</v>
      </c>
      <c r="B6" s="33">
        <v>143257</v>
      </c>
      <c r="C6" s="33">
        <v>55867</v>
      </c>
      <c r="D6" s="51">
        <v>52185</v>
      </c>
      <c r="E6" s="33">
        <v>40984</v>
      </c>
      <c r="F6" s="33">
        <v>21677</v>
      </c>
      <c r="G6" s="33">
        <v>4256</v>
      </c>
      <c r="H6" s="54" t="s">
        <v>28</v>
      </c>
      <c r="I6" s="33">
        <f t="shared" si="0"/>
        <v>318226</v>
      </c>
      <c r="N6" s="52"/>
      <c r="R6" s="33"/>
      <c r="U6" s="31"/>
    </row>
    <row r="7" spans="1:21">
      <c r="A7" s="53" t="s">
        <v>46</v>
      </c>
      <c r="B7" s="33">
        <v>181764</v>
      </c>
      <c r="C7" s="33">
        <v>114307</v>
      </c>
      <c r="D7" s="51">
        <v>39038</v>
      </c>
      <c r="E7" s="33">
        <v>46919</v>
      </c>
      <c r="F7" s="33">
        <v>52833</v>
      </c>
      <c r="G7" s="33">
        <v>13235</v>
      </c>
      <c r="H7" s="54" t="s">
        <v>28</v>
      </c>
      <c r="I7" s="33">
        <f t="shared" si="0"/>
        <v>448096</v>
      </c>
      <c r="N7" s="52"/>
      <c r="R7" s="33"/>
      <c r="U7" s="31"/>
    </row>
    <row r="8" spans="1:21">
      <c r="A8" s="53" t="s">
        <v>47</v>
      </c>
      <c r="B8" s="33">
        <v>230330</v>
      </c>
      <c r="C8" s="33">
        <v>173154</v>
      </c>
      <c r="D8" s="51">
        <v>74712</v>
      </c>
      <c r="E8" s="33">
        <v>44655</v>
      </c>
      <c r="F8" s="33">
        <v>214154</v>
      </c>
      <c r="G8" s="33">
        <v>21687</v>
      </c>
      <c r="H8" s="54" t="s">
        <v>28</v>
      </c>
      <c r="I8" s="33">
        <f t="shared" si="0"/>
        <v>758692</v>
      </c>
      <c r="N8" s="52"/>
      <c r="R8" s="33"/>
      <c r="U8" s="31"/>
    </row>
    <row r="9" spans="1:21">
      <c r="A9" s="53" t="s">
        <v>131</v>
      </c>
      <c r="B9" s="33">
        <v>155250</v>
      </c>
      <c r="C9" s="33">
        <v>110415</v>
      </c>
      <c r="D9" s="51">
        <v>90167</v>
      </c>
      <c r="E9" s="33">
        <v>49971</v>
      </c>
      <c r="F9" s="33">
        <v>199947</v>
      </c>
      <c r="G9" s="33">
        <v>12426</v>
      </c>
      <c r="H9" s="54" t="s">
        <v>28</v>
      </c>
      <c r="I9" s="33">
        <f t="shared" si="0"/>
        <v>618176</v>
      </c>
      <c r="N9" s="52"/>
      <c r="R9" s="33"/>
      <c r="U9" s="31"/>
    </row>
    <row r="10" spans="1:21">
      <c r="A10" s="53" t="s">
        <v>49</v>
      </c>
      <c r="B10" s="51">
        <v>46726</v>
      </c>
      <c r="C10" s="33">
        <v>132169</v>
      </c>
      <c r="D10" s="51">
        <v>69848</v>
      </c>
      <c r="E10" s="33">
        <v>49838</v>
      </c>
      <c r="F10" s="33">
        <v>204458</v>
      </c>
      <c r="G10" s="33">
        <v>69213</v>
      </c>
      <c r="H10" s="54">
        <v>214781</v>
      </c>
      <c r="I10" s="33">
        <f>SUM(B10:H10)</f>
        <v>787033</v>
      </c>
      <c r="N10" s="52"/>
      <c r="R10" s="33"/>
      <c r="U10" s="31"/>
    </row>
    <row r="11" spans="1:21">
      <c r="A11" s="53" t="s">
        <v>50</v>
      </c>
      <c r="B11" s="51">
        <v>63984</v>
      </c>
      <c r="C11" s="33">
        <v>145847</v>
      </c>
      <c r="D11" s="51">
        <v>57517</v>
      </c>
      <c r="E11" s="33">
        <v>26127</v>
      </c>
      <c r="F11" s="33">
        <v>257301</v>
      </c>
      <c r="G11" s="33">
        <v>199027</v>
      </c>
      <c r="H11" s="54">
        <v>581852</v>
      </c>
      <c r="I11" s="33">
        <f>SUM(B11:H11)</f>
        <v>1331655</v>
      </c>
      <c r="N11" s="52"/>
      <c r="R11" s="33"/>
      <c r="U11" s="31"/>
    </row>
    <row r="12" spans="1:21">
      <c r="A12" s="53" t="s">
        <v>51</v>
      </c>
      <c r="B12" s="51">
        <v>334500</v>
      </c>
      <c r="C12" s="55">
        <v>91190</v>
      </c>
      <c r="D12" s="51">
        <v>71607</v>
      </c>
      <c r="E12" s="33">
        <v>25649</v>
      </c>
      <c r="F12" s="33">
        <v>330252</v>
      </c>
      <c r="G12" s="33">
        <v>89829</v>
      </c>
      <c r="H12" s="54">
        <v>666918</v>
      </c>
      <c r="I12" s="33">
        <f>SUM(B12:H12)</f>
        <v>1609945</v>
      </c>
      <c r="N12" s="52"/>
      <c r="R12" s="33"/>
      <c r="U12" s="31"/>
    </row>
    <row r="13" spans="1:9">
      <c r="A13" s="56" t="s">
        <v>52</v>
      </c>
      <c r="B13" s="40">
        <f>B12/B11-1</f>
        <v>4.22786946736684</v>
      </c>
      <c r="C13" s="40">
        <f t="shared" ref="C13:I13" si="1">C12/C11-1</f>
        <v>-0.37475573717663</v>
      </c>
      <c r="D13" s="40">
        <f t="shared" si="1"/>
        <v>0.244971052036789</v>
      </c>
      <c r="E13" s="40">
        <f t="shared" si="1"/>
        <v>-0.0182952501243924</v>
      </c>
      <c r="F13" s="40">
        <f t="shared" si="1"/>
        <v>0.283523966094186</v>
      </c>
      <c r="G13" s="40">
        <f t="shared" si="1"/>
        <v>-0.548659227140036</v>
      </c>
      <c r="H13" s="40">
        <f t="shared" si="1"/>
        <v>0.146198689701161</v>
      </c>
      <c r="I13" s="40">
        <f t="shared" si="1"/>
        <v>0.208980554272691</v>
      </c>
    </row>
    <row r="14" spans="1:9">
      <c r="A14" s="49"/>
      <c r="B14" s="36"/>
      <c r="C14" s="36"/>
      <c r="D14" s="36"/>
      <c r="E14" s="36"/>
      <c r="F14" s="36"/>
      <c r="G14" s="36"/>
      <c r="H14" s="36"/>
      <c r="I14" s="36"/>
    </row>
    <row r="15" spans="1:9">
      <c r="A15" s="49"/>
      <c r="B15" s="36"/>
      <c r="C15" s="36"/>
      <c r="D15" s="36"/>
      <c r="E15" s="36"/>
      <c r="F15" s="36"/>
      <c r="G15" s="36"/>
      <c r="H15" s="36"/>
      <c r="I15" s="36"/>
    </row>
    <row r="16" spans="1:9">
      <c r="A16" s="49"/>
      <c r="B16" s="36"/>
      <c r="C16" s="36"/>
      <c r="D16" s="36"/>
      <c r="E16" s="36"/>
      <c r="F16" s="36"/>
      <c r="G16" s="36"/>
      <c r="H16" s="36"/>
      <c r="I16" s="36"/>
    </row>
    <row r="17" spans="1:9">
      <c r="A17" s="49"/>
      <c r="B17" s="36"/>
      <c r="C17" s="36"/>
      <c r="D17" s="36"/>
      <c r="E17" s="36"/>
      <c r="F17" s="36"/>
      <c r="G17" s="36"/>
      <c r="H17" s="36"/>
      <c r="I17" s="36"/>
    </row>
    <row r="18" ht="15" customHeight="1" spans="1:22">
      <c r="A18" s="38" t="s">
        <v>82</v>
      </c>
      <c r="B18" s="38" t="s">
        <v>54</v>
      </c>
      <c r="C18" s="38" t="s">
        <v>132</v>
      </c>
      <c r="D18" s="38" t="s">
        <v>56</v>
      </c>
      <c r="E18" s="38" t="s">
        <v>57</v>
      </c>
      <c r="F18" s="38" t="s">
        <v>133</v>
      </c>
      <c r="G18" s="38" t="s">
        <v>134</v>
      </c>
      <c r="H18" s="38" t="s">
        <v>135</v>
      </c>
      <c r="I18" s="38" t="s">
        <v>9</v>
      </c>
      <c r="J18" s="38" t="s">
        <v>10</v>
      </c>
      <c r="K18" s="38" t="s">
        <v>61</v>
      </c>
      <c r="L18" s="38" t="s">
        <v>13</v>
      </c>
      <c r="M18" s="38" t="s">
        <v>136</v>
      </c>
      <c r="N18" s="38" t="s">
        <v>137</v>
      </c>
      <c r="O18" s="38" t="s">
        <v>67</v>
      </c>
      <c r="P18" s="38" t="s">
        <v>138</v>
      </c>
      <c r="Q18" s="38" t="s">
        <v>66</v>
      </c>
      <c r="R18" s="38" t="s">
        <v>63</v>
      </c>
      <c r="S18" s="38" t="s">
        <v>139</v>
      </c>
      <c r="T18" s="38" t="s">
        <v>140</v>
      </c>
      <c r="U18" s="38" t="s">
        <v>23</v>
      </c>
      <c r="V18" s="76"/>
    </row>
    <row r="19" s="50" customFormat="1" spans="1:21">
      <c r="A19" s="57" t="s">
        <v>124</v>
      </c>
      <c r="B19" s="31" t="s">
        <v>141</v>
      </c>
      <c r="C19" s="31" t="s">
        <v>142</v>
      </c>
      <c r="D19" s="55">
        <v>76202.8301886793</v>
      </c>
      <c r="E19" s="58">
        <v>334500</v>
      </c>
      <c r="F19" s="59">
        <f>O19/(D19+U19)</f>
        <v>0.868299965067027</v>
      </c>
      <c r="G19" s="60">
        <v>0.213171399467155</v>
      </c>
      <c r="H19" s="61">
        <f>F19+G19</f>
        <v>1.08147136453418</v>
      </c>
      <c r="I19" s="63">
        <f t="shared" ref="I19:I31" si="2">D19/Q19</f>
        <v>180.14853472501</v>
      </c>
      <c r="J19" s="64">
        <f t="shared" ref="J19:J31" si="3">Q19/P19</f>
        <v>0.0368755993374597</v>
      </c>
      <c r="K19" s="68">
        <f t="shared" ref="K19:K31" si="4">R19/Q19</f>
        <v>0.860520094562648</v>
      </c>
      <c r="L19" s="64">
        <f t="shared" ref="L19:L31" si="5">S19/Q19</f>
        <v>0.00945626477541371</v>
      </c>
      <c r="M19" s="64">
        <f>T19/Q19</f>
        <v>0.111111111111111</v>
      </c>
      <c r="N19" s="69">
        <f t="shared" ref="N19:N31" si="6">Q19/$Q$26</f>
        <v>0.229268292682927</v>
      </c>
      <c r="O19" s="70">
        <v>66933.45</v>
      </c>
      <c r="P19" s="71">
        <v>11471</v>
      </c>
      <c r="Q19" s="71">
        <v>423</v>
      </c>
      <c r="R19" s="71">
        <v>364</v>
      </c>
      <c r="S19" s="71">
        <v>4</v>
      </c>
      <c r="T19" s="70">
        <v>47</v>
      </c>
      <c r="U19" s="70">
        <v>882.8</v>
      </c>
    </row>
    <row r="20" s="50" customFormat="1" spans="1:21">
      <c r="A20" s="57" t="s">
        <v>125</v>
      </c>
      <c r="B20" s="31" t="s">
        <v>141</v>
      </c>
      <c r="C20" s="31" t="s">
        <v>143</v>
      </c>
      <c r="D20" s="55">
        <v>31797.1698113207</v>
      </c>
      <c r="E20" s="58">
        <v>91190</v>
      </c>
      <c r="F20" s="59">
        <f t="shared" ref="F20:F26" si="7">O20/(D20+U20)</f>
        <v>0.573582770946643</v>
      </c>
      <c r="G20" s="60">
        <v>0.213171399467155</v>
      </c>
      <c r="H20" s="61">
        <f t="shared" ref="H20:H30" si="8">F20+G20</f>
        <v>0.786754170413798</v>
      </c>
      <c r="I20" s="63">
        <f t="shared" si="2"/>
        <v>225.51184263348</v>
      </c>
      <c r="J20" s="64">
        <f t="shared" si="3"/>
        <v>0.0307122631235025</v>
      </c>
      <c r="K20" s="68">
        <f t="shared" si="4"/>
        <v>0.858156028368794</v>
      </c>
      <c r="L20" s="64">
        <f t="shared" si="5"/>
        <v>0.0141843971631206</v>
      </c>
      <c r="M20" s="64">
        <f t="shared" ref="M20:M31" si="9">T20/Q20</f>
        <v>0.0709219858156028</v>
      </c>
      <c r="N20" s="69">
        <f t="shared" si="6"/>
        <v>0.0764227642276423</v>
      </c>
      <c r="O20" s="70">
        <v>18247.119</v>
      </c>
      <c r="P20" s="71">
        <v>4591</v>
      </c>
      <c r="Q20" s="71">
        <v>141</v>
      </c>
      <c r="R20" s="71">
        <v>121</v>
      </c>
      <c r="S20" s="71">
        <v>2</v>
      </c>
      <c r="T20" s="70">
        <v>10</v>
      </c>
      <c r="U20" s="70">
        <v>15.36</v>
      </c>
    </row>
    <row r="21" s="50" customFormat="1" spans="1:21">
      <c r="A21" s="57" t="s">
        <v>126</v>
      </c>
      <c r="B21" s="31" t="s">
        <v>144</v>
      </c>
      <c r="C21" s="31" t="s">
        <v>145</v>
      </c>
      <c r="D21" s="55">
        <v>14625</v>
      </c>
      <c r="E21" s="58">
        <v>71607</v>
      </c>
      <c r="F21" s="59">
        <f t="shared" si="7"/>
        <v>0.979730646153846</v>
      </c>
      <c r="G21" s="60">
        <v>0.213171399467155</v>
      </c>
      <c r="H21" s="61">
        <f t="shared" si="8"/>
        <v>1.192902045621</v>
      </c>
      <c r="I21" s="63">
        <f t="shared" si="2"/>
        <v>176.204819277108</v>
      </c>
      <c r="J21" s="64">
        <f t="shared" si="3"/>
        <v>0.0386766076421249</v>
      </c>
      <c r="K21" s="68">
        <f t="shared" si="4"/>
        <v>0.734939759036145</v>
      </c>
      <c r="L21" s="64">
        <f t="shared" si="5"/>
        <v>0.0120481927710843</v>
      </c>
      <c r="M21" s="64">
        <f t="shared" si="9"/>
        <v>0.0120481927710843</v>
      </c>
      <c r="N21" s="69">
        <f t="shared" si="6"/>
        <v>0.0449864498644986</v>
      </c>
      <c r="O21" s="70">
        <v>14328.5607</v>
      </c>
      <c r="P21" s="71">
        <v>2146</v>
      </c>
      <c r="Q21" s="71">
        <v>83</v>
      </c>
      <c r="R21" s="71">
        <v>61</v>
      </c>
      <c r="S21" s="71">
        <v>1</v>
      </c>
      <c r="T21" s="70">
        <v>1</v>
      </c>
      <c r="U21" s="70">
        <v>0</v>
      </c>
    </row>
    <row r="22" s="50" customFormat="1" spans="1:21">
      <c r="A22" s="57" t="s">
        <v>127</v>
      </c>
      <c r="B22" s="62" t="s">
        <v>146</v>
      </c>
      <c r="C22" s="31" t="s">
        <v>147</v>
      </c>
      <c r="D22" s="55">
        <v>6665.09433962264</v>
      </c>
      <c r="E22" s="58">
        <v>25649</v>
      </c>
      <c r="F22" s="59">
        <f t="shared" si="7"/>
        <v>0.72551547287872</v>
      </c>
      <c r="G22" s="60">
        <f>VLOOKUP(C20,[2]长险价值!$B:$L,11,0)</f>
        <v>0.301103404103967</v>
      </c>
      <c r="H22" s="61">
        <f t="shared" si="8"/>
        <v>1.02661887698269</v>
      </c>
      <c r="I22" s="63">
        <f t="shared" si="2"/>
        <v>190.431266846361</v>
      </c>
      <c r="J22" s="64">
        <f t="shared" si="3"/>
        <v>0.0369978858350951</v>
      </c>
      <c r="K22" s="68">
        <f t="shared" si="4"/>
        <v>0.971428571428571</v>
      </c>
      <c r="L22" s="64">
        <f t="shared" si="5"/>
        <v>0.0285714285714286</v>
      </c>
      <c r="M22" s="64">
        <f t="shared" si="9"/>
        <v>0.0571428571428571</v>
      </c>
      <c r="N22" s="69">
        <f t="shared" si="6"/>
        <v>0.018970189701897</v>
      </c>
      <c r="O22" s="70">
        <v>5132.3649</v>
      </c>
      <c r="P22" s="71">
        <v>946</v>
      </c>
      <c r="Q22" s="71">
        <v>35</v>
      </c>
      <c r="R22" s="71">
        <v>34</v>
      </c>
      <c r="S22" s="71">
        <v>1</v>
      </c>
      <c r="T22" s="70">
        <v>2</v>
      </c>
      <c r="U22" s="70">
        <v>409</v>
      </c>
    </row>
    <row r="23" s="50" customFormat="1" spans="1:21">
      <c r="A23" s="57" t="s">
        <v>148</v>
      </c>
      <c r="B23" s="31" t="s">
        <v>149</v>
      </c>
      <c r="C23" s="31" t="s">
        <v>150</v>
      </c>
      <c r="D23" s="55">
        <v>57566.037735849</v>
      </c>
      <c r="E23" s="58">
        <v>330252</v>
      </c>
      <c r="F23" s="59">
        <f t="shared" si="7"/>
        <v>1.14795854985251</v>
      </c>
      <c r="G23" s="60">
        <f>VLOOKUP(C19,[2]长险价值!$B:$L,11,0)</f>
        <v>0.329728845142419</v>
      </c>
      <c r="H23" s="61">
        <f t="shared" si="8"/>
        <v>1.47768739499493</v>
      </c>
      <c r="I23" s="63">
        <f t="shared" si="2"/>
        <v>130.239904379749</v>
      </c>
      <c r="J23" s="64">
        <f t="shared" si="3"/>
        <v>0.0622535211267606</v>
      </c>
      <c r="K23" s="68">
        <f t="shared" si="4"/>
        <v>0.791855203619909</v>
      </c>
      <c r="L23" s="64">
        <f t="shared" si="5"/>
        <v>0.00678733031674208</v>
      </c>
      <c r="M23" s="64">
        <f t="shared" si="9"/>
        <v>0.0452488687782805</v>
      </c>
      <c r="N23" s="69">
        <f t="shared" si="6"/>
        <v>0.239566395663957</v>
      </c>
      <c r="O23" s="70">
        <v>66083.4252</v>
      </c>
      <c r="P23" s="71">
        <v>7100</v>
      </c>
      <c r="Q23" s="71">
        <v>442</v>
      </c>
      <c r="R23" s="71">
        <v>350</v>
      </c>
      <c r="S23" s="71">
        <v>3</v>
      </c>
      <c r="T23" s="70">
        <v>20</v>
      </c>
      <c r="U23" s="70">
        <v>0</v>
      </c>
    </row>
    <row r="24" s="50" customFormat="1" spans="1:21">
      <c r="A24" s="57" t="s">
        <v>129</v>
      </c>
      <c r="B24" s="31" t="s">
        <v>141</v>
      </c>
      <c r="C24" s="31" t="s">
        <v>151</v>
      </c>
      <c r="D24" s="55">
        <v>13507.0754716981</v>
      </c>
      <c r="E24" s="58">
        <v>89829</v>
      </c>
      <c r="F24" s="59">
        <f t="shared" si="7"/>
        <v>1.27276947013112</v>
      </c>
      <c r="G24" s="60">
        <v>0.213171399467155</v>
      </c>
      <c r="H24" s="61">
        <f t="shared" si="8"/>
        <v>1.48594086959828</v>
      </c>
      <c r="I24" s="63">
        <f t="shared" si="2"/>
        <v>112.558962264151</v>
      </c>
      <c r="J24" s="64">
        <f t="shared" si="3"/>
        <v>0.0625651720542232</v>
      </c>
      <c r="K24" s="68">
        <f t="shared" si="4"/>
        <v>0.833333333333333</v>
      </c>
      <c r="L24" s="64">
        <f t="shared" si="5"/>
        <v>0</v>
      </c>
      <c r="M24" s="64">
        <f t="shared" si="9"/>
        <v>0.15</v>
      </c>
      <c r="N24" s="69">
        <f t="shared" si="6"/>
        <v>0.0650406504065041</v>
      </c>
      <c r="O24" s="70">
        <v>17974.7829</v>
      </c>
      <c r="P24" s="71">
        <v>1918</v>
      </c>
      <c r="Q24" s="71">
        <v>120</v>
      </c>
      <c r="R24" s="71">
        <v>100</v>
      </c>
      <c r="S24" s="71">
        <v>0</v>
      </c>
      <c r="T24" s="70">
        <v>18</v>
      </c>
      <c r="U24" s="70">
        <v>615.5</v>
      </c>
    </row>
    <row r="25" s="50" customFormat="1" spans="1:21">
      <c r="A25" s="57" t="s">
        <v>130</v>
      </c>
      <c r="B25" s="31" t="s">
        <v>152</v>
      </c>
      <c r="C25" s="31" t="s">
        <v>153</v>
      </c>
      <c r="D25" s="55">
        <v>13875</v>
      </c>
      <c r="E25" s="58">
        <v>666918</v>
      </c>
      <c r="F25" s="59">
        <f t="shared" si="7"/>
        <v>9.61803904864865</v>
      </c>
      <c r="G25" s="60">
        <v>0.213171399467155</v>
      </c>
      <c r="H25" s="61">
        <f t="shared" si="8"/>
        <v>9.8312104481158</v>
      </c>
      <c r="I25" s="63">
        <f t="shared" si="2"/>
        <v>23.0865224625624</v>
      </c>
      <c r="J25" s="64">
        <f t="shared" si="3"/>
        <v>0.119411881581562</v>
      </c>
      <c r="K25" s="68">
        <f t="shared" si="4"/>
        <v>0.72712146422629</v>
      </c>
      <c r="L25" s="64">
        <f t="shared" si="5"/>
        <v>0.00831946755407654</v>
      </c>
      <c r="M25" s="64">
        <f t="shared" si="9"/>
        <v>0.0366056572379368</v>
      </c>
      <c r="N25" s="69">
        <f t="shared" si="6"/>
        <v>0.325745257452575</v>
      </c>
      <c r="O25" s="70">
        <v>133450.2918</v>
      </c>
      <c r="P25" s="71">
        <v>5033</v>
      </c>
      <c r="Q25" s="71">
        <v>601</v>
      </c>
      <c r="R25" s="71">
        <v>437</v>
      </c>
      <c r="S25" s="71">
        <v>5</v>
      </c>
      <c r="T25" s="70">
        <v>22</v>
      </c>
      <c r="U25" s="70">
        <v>0</v>
      </c>
    </row>
    <row r="26" spans="1:21">
      <c r="A26" s="31" t="s">
        <v>30</v>
      </c>
      <c r="D26" s="51">
        <f>SUM(D19:D25)</f>
        <v>214238.20754717</v>
      </c>
      <c r="E26" s="51">
        <f>SUM(E19:E25)</f>
        <v>1609945</v>
      </c>
      <c r="F26" s="59">
        <f t="shared" si="7"/>
        <v>1.49032522933274</v>
      </c>
      <c r="G26" s="60">
        <v>0.213171399467155</v>
      </c>
      <c r="H26" s="61">
        <f t="shared" si="8"/>
        <v>1.7034966287999</v>
      </c>
      <c r="I26" s="63">
        <f t="shared" si="2"/>
        <v>116.118269673263</v>
      </c>
      <c r="J26" s="64">
        <f t="shared" si="3"/>
        <v>0.0555639210962205</v>
      </c>
      <c r="K26" s="68">
        <f t="shared" si="4"/>
        <v>0.795121951219512</v>
      </c>
      <c r="L26" s="64">
        <f t="shared" si="5"/>
        <v>0.00867208672086721</v>
      </c>
      <c r="M26" s="64">
        <f t="shared" si="9"/>
        <v>0.0650406504065041</v>
      </c>
      <c r="N26" s="69">
        <f t="shared" si="6"/>
        <v>1</v>
      </c>
      <c r="O26" s="72">
        <f>SUM(O19:O25)</f>
        <v>322149.9945</v>
      </c>
      <c r="P26" s="72">
        <f t="shared" ref="P26:U26" si="10">SUM(P19:P25)</f>
        <v>33205</v>
      </c>
      <c r="Q26" s="72">
        <f t="shared" si="10"/>
        <v>1845</v>
      </c>
      <c r="R26" s="72">
        <f t="shared" si="10"/>
        <v>1467</v>
      </c>
      <c r="S26" s="72">
        <f t="shared" si="10"/>
        <v>16</v>
      </c>
      <c r="T26" s="72">
        <f t="shared" si="10"/>
        <v>120</v>
      </c>
      <c r="U26" s="72">
        <f t="shared" si="10"/>
        <v>1922.66</v>
      </c>
    </row>
    <row r="31" hidden="1" spans="1:19">
      <c r="A31" s="38" t="s">
        <v>154</v>
      </c>
      <c r="B31" s="38" t="s">
        <v>56</v>
      </c>
      <c r="C31" s="38" t="s">
        <v>57</v>
      </c>
      <c r="D31" s="38" t="s">
        <v>133</v>
      </c>
      <c r="E31" s="38" t="s">
        <v>134</v>
      </c>
      <c r="F31" s="38" t="s">
        <v>135</v>
      </c>
      <c r="G31" s="38" t="s">
        <v>9</v>
      </c>
      <c r="H31" s="38" t="s">
        <v>10</v>
      </c>
      <c r="I31" s="38" t="s">
        <v>61</v>
      </c>
      <c r="J31" s="38" t="s">
        <v>13</v>
      </c>
      <c r="K31" s="38" t="s">
        <v>136</v>
      </c>
      <c r="L31" s="38" t="s">
        <v>137</v>
      </c>
      <c r="M31" s="38" t="s">
        <v>67</v>
      </c>
      <c r="N31" s="38" t="s">
        <v>138</v>
      </c>
      <c r="O31" s="38" t="s">
        <v>66</v>
      </c>
      <c r="P31" s="38" t="s">
        <v>63</v>
      </c>
      <c r="Q31" s="38" t="s">
        <v>139</v>
      </c>
      <c r="R31" s="38" t="s">
        <v>140</v>
      </c>
      <c r="S31" s="38" t="s">
        <v>23</v>
      </c>
    </row>
    <row r="32" hidden="1" spans="1:19">
      <c r="A32" s="57" t="s">
        <v>155</v>
      </c>
      <c r="B32" s="33">
        <v>108941.037735849</v>
      </c>
      <c r="C32" s="51">
        <v>988688</v>
      </c>
      <c r="D32" s="59">
        <f t="shared" ref="D32:D38" si="11">M32/(B32+S32)</f>
        <v>1.81599581674352</v>
      </c>
      <c r="E32" s="60">
        <v>0.213171399467155</v>
      </c>
      <c r="F32" s="61">
        <f t="shared" ref="F32:F38" si="12">D32+E32</f>
        <v>2.02916721621068</v>
      </c>
      <c r="G32" s="63">
        <f t="shared" ref="G32:G38" si="13">B32/O32</f>
        <v>103.457775627587</v>
      </c>
      <c r="H32" s="64">
        <f t="shared" ref="H32:H38" si="14">O32/N32</f>
        <v>0.0684878048780488</v>
      </c>
      <c r="I32" s="68">
        <f t="shared" ref="I32:I38" si="15">P32/O32</f>
        <v>0.773029439696106</v>
      </c>
      <c r="J32" s="64">
        <f t="shared" ref="J32:J38" si="16">Q32/O32</f>
        <v>0.0123456790123457</v>
      </c>
      <c r="K32" s="64">
        <f t="shared" ref="K32:K38" si="17">R32/O32</f>
        <v>0.0512820512820513</v>
      </c>
      <c r="L32" s="69">
        <f t="shared" ref="L32:L37" si="18">O32/$Q$26</f>
        <v>0.570731707317073</v>
      </c>
      <c r="M32" s="73">
        <v>197836.4688</v>
      </c>
      <c r="N32" s="74">
        <v>15375</v>
      </c>
      <c r="O32" s="74">
        <v>1053</v>
      </c>
      <c r="P32" s="74">
        <v>814</v>
      </c>
      <c r="Q32" s="74">
        <v>13</v>
      </c>
      <c r="R32" s="73">
        <v>54</v>
      </c>
      <c r="S32" s="73">
        <v>0</v>
      </c>
    </row>
    <row r="33" hidden="1" spans="1:19">
      <c r="A33" s="57" t="s">
        <v>156</v>
      </c>
      <c r="B33" s="33">
        <v>27042.4528301887</v>
      </c>
      <c r="C33" s="51">
        <v>153246</v>
      </c>
      <c r="D33" s="59">
        <f t="shared" si="11"/>
        <v>1.05907904111897</v>
      </c>
      <c r="E33" s="60">
        <v>0.213171399467155</v>
      </c>
      <c r="F33" s="61">
        <f t="shared" si="12"/>
        <v>1.27225044058612</v>
      </c>
      <c r="G33" s="63">
        <f t="shared" si="13"/>
        <v>116.062029314115</v>
      </c>
      <c r="H33" s="64">
        <f t="shared" si="14"/>
        <v>0.0609469003400471</v>
      </c>
      <c r="I33" s="68">
        <f t="shared" si="15"/>
        <v>0.871244635193133</v>
      </c>
      <c r="J33" s="64">
        <f t="shared" si="16"/>
        <v>0.0214592274678112</v>
      </c>
      <c r="K33" s="64">
        <f t="shared" si="17"/>
        <v>0.128755364806867</v>
      </c>
      <c r="L33" s="69">
        <f t="shared" si="18"/>
        <v>0.126287262872629</v>
      </c>
      <c r="M33" s="73">
        <v>30664.5246</v>
      </c>
      <c r="N33" s="74">
        <v>3823</v>
      </c>
      <c r="O33" s="74">
        <v>233</v>
      </c>
      <c r="P33" s="74">
        <v>203</v>
      </c>
      <c r="Q33" s="74">
        <v>5</v>
      </c>
      <c r="R33" s="73">
        <v>30</v>
      </c>
      <c r="S33" s="73">
        <v>1911.5</v>
      </c>
    </row>
    <row r="34" hidden="1" spans="1:21">
      <c r="A34" s="57" t="s">
        <v>157</v>
      </c>
      <c r="B34" s="33">
        <v>22033.0188679245</v>
      </c>
      <c r="C34" s="51">
        <v>129425</v>
      </c>
      <c r="D34" s="59">
        <f t="shared" si="11"/>
        <v>1.17541507385999</v>
      </c>
      <c r="E34" s="60">
        <v>0.213171399467155</v>
      </c>
      <c r="F34" s="61">
        <f t="shared" si="12"/>
        <v>1.38858647332714</v>
      </c>
      <c r="G34" s="63">
        <f t="shared" si="13"/>
        <v>123.08949088226</v>
      </c>
      <c r="H34" s="64">
        <f t="shared" si="14"/>
        <v>0.05641348881185</v>
      </c>
      <c r="I34" s="68">
        <f t="shared" si="15"/>
        <v>0.787709497206704</v>
      </c>
      <c r="J34" s="64">
        <f t="shared" si="16"/>
        <v>0.0111731843575419</v>
      </c>
      <c r="K34" s="64">
        <f t="shared" si="17"/>
        <v>0.100558659217877</v>
      </c>
      <c r="L34" s="69">
        <f t="shared" si="18"/>
        <v>0.0970189701897019</v>
      </c>
      <c r="M34" s="73">
        <v>25897.9425</v>
      </c>
      <c r="N34" s="74">
        <v>3173</v>
      </c>
      <c r="O34" s="74">
        <v>179</v>
      </c>
      <c r="P34" s="74">
        <v>141</v>
      </c>
      <c r="Q34" s="74">
        <v>2</v>
      </c>
      <c r="R34" s="73">
        <v>18</v>
      </c>
      <c r="S34" s="73">
        <v>0</v>
      </c>
      <c r="T34" s="31"/>
      <c r="U34" s="31"/>
    </row>
    <row r="35" hidden="1" spans="1:21">
      <c r="A35" s="57" t="s">
        <v>158</v>
      </c>
      <c r="B35" s="33">
        <v>14575.4716981132</v>
      </c>
      <c r="C35" s="51">
        <v>48253</v>
      </c>
      <c r="D35" s="59">
        <f t="shared" si="11"/>
        <v>0.662443418640777</v>
      </c>
      <c r="E35" s="60">
        <v>0.213171399467155</v>
      </c>
      <c r="F35" s="61">
        <f t="shared" si="12"/>
        <v>0.875614818107932</v>
      </c>
      <c r="G35" s="63">
        <f t="shared" si="13"/>
        <v>231.356693620844</v>
      </c>
      <c r="H35" s="64">
        <f t="shared" si="14"/>
        <v>0.028099910793934</v>
      </c>
      <c r="I35" s="68">
        <f t="shared" si="15"/>
        <v>0.888888888888889</v>
      </c>
      <c r="J35" s="64">
        <f t="shared" si="16"/>
        <v>0</v>
      </c>
      <c r="K35" s="64">
        <f t="shared" si="17"/>
        <v>0.0952380952380952</v>
      </c>
      <c r="L35" s="69">
        <f t="shared" si="18"/>
        <v>0.0341463414634146</v>
      </c>
      <c r="M35" s="73">
        <v>9655.4253</v>
      </c>
      <c r="N35" s="74">
        <v>2242</v>
      </c>
      <c r="O35" s="74">
        <v>63</v>
      </c>
      <c r="P35" s="74">
        <v>56</v>
      </c>
      <c r="Q35" s="74">
        <v>0</v>
      </c>
      <c r="R35" s="73">
        <v>6</v>
      </c>
      <c r="S35" s="73">
        <v>0</v>
      </c>
      <c r="T35" s="31"/>
      <c r="U35" s="31"/>
    </row>
    <row r="36" hidden="1" spans="1:21">
      <c r="A36" s="57" t="s">
        <v>159</v>
      </c>
      <c r="B36" s="33">
        <v>5865.56603773585</v>
      </c>
      <c r="C36" s="51">
        <v>7405</v>
      </c>
      <c r="D36" s="59">
        <f t="shared" si="11"/>
        <v>0.252616796139928</v>
      </c>
      <c r="E36" s="60">
        <v>0.213171399467155</v>
      </c>
      <c r="F36" s="61">
        <f t="shared" si="12"/>
        <v>0.465788195607083</v>
      </c>
      <c r="G36" s="63">
        <f t="shared" si="13"/>
        <v>586.556603773585</v>
      </c>
      <c r="H36" s="64">
        <f t="shared" si="14"/>
        <v>0.0119189511323004</v>
      </c>
      <c r="I36" s="68">
        <f t="shared" si="15"/>
        <v>1</v>
      </c>
      <c r="J36" s="64">
        <f t="shared" si="16"/>
        <v>0</v>
      </c>
      <c r="K36" s="64">
        <f t="shared" si="17"/>
        <v>0.1</v>
      </c>
      <c r="L36" s="69">
        <f t="shared" si="18"/>
        <v>0.00542005420054201</v>
      </c>
      <c r="M36" s="73">
        <v>1481.7405</v>
      </c>
      <c r="N36" s="74">
        <v>839</v>
      </c>
      <c r="O36" s="74">
        <v>10</v>
      </c>
      <c r="P36" s="74">
        <v>10</v>
      </c>
      <c r="Q36" s="74">
        <v>0</v>
      </c>
      <c r="R36" s="73">
        <v>1</v>
      </c>
      <c r="S36" s="73">
        <v>0</v>
      </c>
      <c r="T36" s="31"/>
      <c r="U36" s="31"/>
    </row>
    <row r="37" hidden="1" spans="1:21">
      <c r="A37" s="57" t="s">
        <v>160</v>
      </c>
      <c r="B37" s="33">
        <v>4676.88679245283</v>
      </c>
      <c r="C37" s="51">
        <v>7109</v>
      </c>
      <c r="D37" s="59">
        <f t="shared" si="11"/>
        <v>0.304157650832073</v>
      </c>
      <c r="E37" s="60">
        <v>0.213171399467155</v>
      </c>
      <c r="F37" s="61">
        <f t="shared" si="12"/>
        <v>0.517329050299228</v>
      </c>
      <c r="G37" s="63">
        <f t="shared" si="13"/>
        <v>389.740566037736</v>
      </c>
      <c r="H37" s="64">
        <f t="shared" si="14"/>
        <v>0.018018018018018</v>
      </c>
      <c r="I37" s="68">
        <f t="shared" si="15"/>
        <v>0.916666666666667</v>
      </c>
      <c r="J37" s="64">
        <f t="shared" si="16"/>
        <v>0</v>
      </c>
      <c r="K37" s="64">
        <f t="shared" si="17"/>
        <v>0.166666666666667</v>
      </c>
      <c r="L37" s="69">
        <f t="shared" si="18"/>
        <v>0.00650406504065041</v>
      </c>
      <c r="M37" s="73">
        <v>1422.5109</v>
      </c>
      <c r="N37" s="74">
        <v>666</v>
      </c>
      <c r="O37" s="74">
        <v>12</v>
      </c>
      <c r="P37" s="74">
        <v>11</v>
      </c>
      <c r="Q37" s="74">
        <v>0</v>
      </c>
      <c r="R37" s="73">
        <v>2</v>
      </c>
      <c r="S37" s="73">
        <v>0</v>
      </c>
      <c r="T37" s="31"/>
      <c r="U37" s="31"/>
    </row>
    <row r="38" hidden="1" spans="1:21">
      <c r="A38" s="31" t="s">
        <v>30</v>
      </c>
      <c r="B38" s="33">
        <f>SUM(B35:B37)</f>
        <v>25117.9245283019</v>
      </c>
      <c r="C38" s="33">
        <f>SUM(C35:C37)</f>
        <v>62767</v>
      </c>
      <c r="D38" s="59">
        <f t="shared" si="11"/>
        <v>0.500028443267606</v>
      </c>
      <c r="E38" s="65">
        <v>0.213171399467155</v>
      </c>
      <c r="F38" s="61">
        <f t="shared" si="12"/>
        <v>0.713199842734761</v>
      </c>
      <c r="G38" s="63">
        <f t="shared" si="13"/>
        <v>295.50499445061</v>
      </c>
      <c r="H38" s="64">
        <f t="shared" si="14"/>
        <v>0.0226848145182813</v>
      </c>
      <c r="I38" s="68">
        <f t="shared" si="15"/>
        <v>0.905882352941176</v>
      </c>
      <c r="J38" s="64">
        <f t="shared" si="16"/>
        <v>0</v>
      </c>
      <c r="K38" s="64">
        <f t="shared" si="17"/>
        <v>0.105882352941176</v>
      </c>
      <c r="L38" s="64" t="e">
        <f>S38/Q38</f>
        <v>#DIV/0!</v>
      </c>
      <c r="M38" s="75">
        <f>SUM(M35:M37)</f>
        <v>12559.6767</v>
      </c>
      <c r="N38" s="75">
        <f t="shared" ref="N38:S38" si="19">SUM(N35:N37)</f>
        <v>3747</v>
      </c>
      <c r="O38" s="75">
        <f t="shared" si="19"/>
        <v>85</v>
      </c>
      <c r="P38" s="75">
        <f t="shared" si="19"/>
        <v>77</v>
      </c>
      <c r="Q38" s="75">
        <f t="shared" si="19"/>
        <v>0</v>
      </c>
      <c r="R38" s="75">
        <f t="shared" si="19"/>
        <v>9</v>
      </c>
      <c r="S38" s="75">
        <f t="shared" si="19"/>
        <v>0</v>
      </c>
      <c r="T38" s="31"/>
      <c r="U38" s="31"/>
    </row>
    <row r="39" hidden="1" spans="20:21">
      <c r="T39" s="31"/>
      <c r="U39" s="31"/>
    </row>
    <row r="40" spans="20:21">
      <c r="T40" s="31"/>
      <c r="U40" s="31"/>
    </row>
    <row r="41" spans="20:21">
      <c r="T41" s="31"/>
      <c r="U41" s="31"/>
    </row>
    <row r="44" spans="1:3">
      <c r="A44" s="66"/>
      <c r="B44" s="66"/>
      <c r="C44" s="67"/>
    </row>
    <row r="45" spans="1:7">
      <c r="A45" s="49"/>
      <c r="G45" s="49"/>
    </row>
    <row r="61" ht="12" customHeight="1"/>
  </sheetData>
  <sortState ref="A28:S37">
    <sortCondition ref="C32" descending="1"/>
  </sortState>
  <mergeCells count="1">
    <mergeCell ref="A44:B44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O18"/>
  <sheetViews>
    <sheetView showGridLines="0" zoomScale="119" zoomScaleNormal="119" workbookViewId="0">
      <selection activeCell="B30" sqref="B30"/>
    </sheetView>
  </sheetViews>
  <sheetFormatPr defaultColWidth="9.22727272727273" defaultRowHeight="14.5"/>
  <cols>
    <col min="1" max="1" width="17.6363636363636" style="31" customWidth="1"/>
    <col min="2" max="2" width="14.5909090909091" style="31" customWidth="1"/>
    <col min="3" max="3" width="15.1545454545455" style="31" customWidth="1"/>
    <col min="4" max="4" width="10.8454545454545" style="32" customWidth="1"/>
    <col min="5" max="5" width="15.1545454545455" style="32" customWidth="1"/>
    <col min="6" max="6" width="10.4090909090909" style="33" customWidth="1"/>
    <col min="7" max="7" width="9.22727272727273" style="34"/>
    <col min="8" max="8" width="9.22727272727273" style="33"/>
    <col min="9" max="9" width="11.2090909090909" style="35" customWidth="1"/>
    <col min="10" max="10" width="9.22727272727273" style="33"/>
    <col min="11" max="11" width="9.22727272727273" style="32"/>
    <col min="12" max="13" width="9.22727272727273" style="35"/>
    <col min="14" max="14" width="9.22727272727273" style="36"/>
    <col min="15" max="15" width="9.22727272727273" style="37"/>
    <col min="16" max="16384" width="9.22727272727273" style="31"/>
  </cols>
  <sheetData>
    <row r="1" spans="1:3">
      <c r="A1" s="38" t="s">
        <v>31</v>
      </c>
      <c r="B1" s="38" t="s">
        <v>161</v>
      </c>
      <c r="C1" s="38" t="s">
        <v>59</v>
      </c>
    </row>
    <row r="2" spans="1:3">
      <c r="A2" s="31" t="s">
        <v>47</v>
      </c>
      <c r="B2" s="33">
        <v>4664294</v>
      </c>
      <c r="C2" s="32">
        <v>0.858402270072004</v>
      </c>
    </row>
    <row r="3" spans="1:3">
      <c r="A3" s="31" t="s">
        <v>162</v>
      </c>
      <c r="B3" s="33">
        <v>2954205</v>
      </c>
      <c r="C3" s="32">
        <v>0.849206680616081</v>
      </c>
    </row>
    <row r="4" spans="1:3">
      <c r="A4" s="31" t="s">
        <v>49</v>
      </c>
      <c r="B4" s="33">
        <v>3657894</v>
      </c>
      <c r="C4" s="32">
        <v>0.704800220317563</v>
      </c>
    </row>
    <row r="5" spans="1:3">
      <c r="A5" s="31" t="s">
        <v>50</v>
      </c>
      <c r="B5" s="33">
        <v>4495100</v>
      </c>
      <c r="C5" s="32">
        <v>0.724519034163686</v>
      </c>
    </row>
    <row r="6" spans="1:3">
      <c r="A6" s="39" t="s">
        <v>52</v>
      </c>
      <c r="B6" s="40">
        <f>B5/B4-1</f>
        <v>0.228876506536275</v>
      </c>
      <c r="C6" s="40">
        <f>C5/C4-1</f>
        <v>0.0279778769609895</v>
      </c>
    </row>
    <row r="12" spans="1:15">
      <c r="A12" s="38" t="s">
        <v>154</v>
      </c>
      <c r="B12" s="38" t="s">
        <v>56</v>
      </c>
      <c r="C12" s="38" t="s">
        <v>57</v>
      </c>
      <c r="D12" s="41" t="s">
        <v>58</v>
      </c>
      <c r="E12" s="41" t="s">
        <v>59</v>
      </c>
      <c r="F12" s="42" t="s">
        <v>60</v>
      </c>
      <c r="G12" s="43" t="s">
        <v>8</v>
      </c>
      <c r="H12" s="42" t="s">
        <v>9</v>
      </c>
      <c r="I12" s="45" t="s">
        <v>163</v>
      </c>
      <c r="J12" s="42" t="s">
        <v>164</v>
      </c>
      <c r="K12" s="41" t="s">
        <v>165</v>
      </c>
      <c r="L12" s="45" t="s">
        <v>166</v>
      </c>
      <c r="M12" s="45" t="s">
        <v>10</v>
      </c>
      <c r="N12" s="46" t="s">
        <v>167</v>
      </c>
      <c r="O12" s="47" t="s">
        <v>168</v>
      </c>
    </row>
    <row r="13" spans="1:15">
      <c r="A13" s="31" t="s">
        <v>169</v>
      </c>
      <c r="B13" s="33">
        <v>851643.655556019</v>
      </c>
      <c r="C13" s="33">
        <v>1861698</v>
      </c>
      <c r="D13" s="32">
        <v>0.515826549622943</v>
      </c>
      <c r="E13" s="32">
        <v>0.710800529651127</v>
      </c>
      <c r="F13" s="33">
        <v>782.226050420168</v>
      </c>
      <c r="G13" s="34">
        <v>16.1890973568798</v>
      </c>
      <c r="H13" s="33">
        <v>357.833468721016</v>
      </c>
      <c r="I13" s="35">
        <v>0.0491596638655462</v>
      </c>
      <c r="J13" s="33">
        <v>877.172070734782</v>
      </c>
      <c r="K13" s="32">
        <v>1.3132327583987</v>
      </c>
      <c r="L13" s="35">
        <v>0.0677329309305907</v>
      </c>
      <c r="M13" s="35">
        <v>0.0452419876059765</v>
      </c>
      <c r="N13" s="36">
        <v>0.667948667229692</v>
      </c>
      <c r="O13" s="37">
        <v>0.00306437242167825</v>
      </c>
    </row>
    <row r="14" spans="1:15">
      <c r="A14" s="31" t="s">
        <v>156</v>
      </c>
      <c r="B14" s="33">
        <v>714205.965549936</v>
      </c>
      <c r="C14" s="33">
        <v>1731989</v>
      </c>
      <c r="D14" s="32">
        <v>0.567975050644599</v>
      </c>
      <c r="E14" s="32">
        <v>0.754352111050925</v>
      </c>
      <c r="F14" s="33">
        <v>844.049220272905</v>
      </c>
      <c r="G14" s="34">
        <v>17.1762575587392</v>
      </c>
      <c r="H14" s="33">
        <v>348.053589449287</v>
      </c>
      <c r="I14" s="35">
        <v>0.0482456140350877</v>
      </c>
      <c r="J14" s="33">
        <v>488.61548852126</v>
      </c>
      <c r="K14" s="32">
        <v>0.936217031516063</v>
      </c>
      <c r="L14" s="35">
        <v>0.0455625269829304</v>
      </c>
      <c r="M14" s="35">
        <v>0.0493494624948895</v>
      </c>
      <c r="N14" s="36">
        <v>0.521904080008052</v>
      </c>
      <c r="O14" s="37">
        <v>0.00224848621651651</v>
      </c>
    </row>
    <row r="15" spans="1:15">
      <c r="A15" s="31" t="s">
        <v>170</v>
      </c>
      <c r="B15" s="33">
        <v>233898.405409918</v>
      </c>
      <c r="C15" s="33">
        <v>760575</v>
      </c>
      <c r="D15" s="32">
        <v>0.520277168143703</v>
      </c>
      <c r="E15" s="32">
        <v>0.71643538280722</v>
      </c>
      <c r="F15" s="44">
        <v>550.343704775687</v>
      </c>
      <c r="G15" s="34">
        <v>13.2565407736294</v>
      </c>
      <c r="H15" s="33">
        <v>169.24631361065</v>
      </c>
      <c r="I15" s="48">
        <v>0.225036179450072</v>
      </c>
      <c r="J15" s="33">
        <v>155.528365695811</v>
      </c>
      <c r="K15" s="32">
        <v>0.774067061394663</v>
      </c>
      <c r="L15" s="35">
        <v>0.0487488154015754</v>
      </c>
      <c r="M15" s="35">
        <v>0.0783269099977329</v>
      </c>
      <c r="N15" s="36">
        <v>0.200923632398968</v>
      </c>
      <c r="O15" s="37">
        <v>0.0038183440764553</v>
      </c>
    </row>
    <row r="16" spans="1:15">
      <c r="A16" s="31" t="s">
        <v>160</v>
      </c>
      <c r="B16" s="33">
        <v>45772.3827016196</v>
      </c>
      <c r="C16" s="33">
        <v>77588</v>
      </c>
      <c r="D16" s="32">
        <v>0.401094962594969</v>
      </c>
      <c r="E16" s="32">
        <v>0.597253177258486</v>
      </c>
      <c r="F16" s="33">
        <v>891.816091954023</v>
      </c>
      <c r="G16" s="34">
        <v>29.5687226754649</v>
      </c>
      <c r="H16" s="33">
        <v>526.119341397926</v>
      </c>
      <c r="I16" s="35">
        <v>0.0344827586206897</v>
      </c>
      <c r="J16" s="33">
        <v>408.303370619163</v>
      </c>
      <c r="K16" s="32">
        <v>0.81739809762352</v>
      </c>
      <c r="L16" s="35">
        <v>0.023078987387065</v>
      </c>
      <c r="M16" s="35">
        <v>0.0562015503875969</v>
      </c>
      <c r="N16" s="36">
        <v>0.499515929638511</v>
      </c>
      <c r="O16" s="37">
        <v>0.00129707487252885</v>
      </c>
    </row>
    <row r="17" spans="1:15">
      <c r="A17" s="31" t="s">
        <v>157</v>
      </c>
      <c r="B17" s="33">
        <v>32806.5202871932</v>
      </c>
      <c r="C17" s="33">
        <v>61798</v>
      </c>
      <c r="D17" s="32">
        <v>0.457314579838854</v>
      </c>
      <c r="E17" s="32">
        <v>0.653472794502371</v>
      </c>
      <c r="F17" s="33">
        <v>1103.53571428571</v>
      </c>
      <c r="G17" s="34">
        <v>44.5740764771647</v>
      </c>
      <c r="H17" s="33">
        <v>585.830719414164</v>
      </c>
      <c r="I17" s="35">
        <v>0.0357142857142857</v>
      </c>
      <c r="J17" s="33">
        <v>436.477690521943</v>
      </c>
      <c r="K17" s="32">
        <v>0.740826310729031</v>
      </c>
      <c r="L17" s="35">
        <v>0.0138755349433479</v>
      </c>
      <c r="M17" s="35">
        <v>0.0760869565217391</v>
      </c>
      <c r="N17" s="36">
        <v>0.589176820802186</v>
      </c>
      <c r="O17" s="37">
        <v>0.00105574722395038</v>
      </c>
    </row>
    <row r="18" spans="1:15">
      <c r="A18" s="31" t="s">
        <v>159</v>
      </c>
      <c r="B18" s="33">
        <v>1018.7510435799</v>
      </c>
      <c r="C18" s="33">
        <v>1452</v>
      </c>
      <c r="D18" s="32">
        <v>0.334855089177768</v>
      </c>
      <c r="E18" s="32">
        <v>0.531013303841285</v>
      </c>
      <c r="F18" s="33">
        <v>484</v>
      </c>
      <c r="G18" s="34">
        <v>13.4046189944724</v>
      </c>
      <c r="H18" s="33">
        <v>339.5836811933</v>
      </c>
      <c r="I18" s="35">
        <v>0</v>
      </c>
      <c r="J18" s="33">
        <v>247.869185456023</v>
      </c>
      <c r="K18" s="32">
        <v>0.656759956942949</v>
      </c>
      <c r="L18" s="35">
        <v>0.0409041980624327</v>
      </c>
      <c r="M18" s="35">
        <v>0.0394736842105263</v>
      </c>
      <c r="N18" s="36">
        <v>0.377412147064798</v>
      </c>
      <c r="O18" s="37">
        <v>0.00161463939720129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G21" sqref="G21"/>
    </sheetView>
  </sheetViews>
  <sheetFormatPr defaultColWidth="9.84545454545455" defaultRowHeight="15"/>
  <cols>
    <col min="1" max="1" width="9.84545454545455" style="16"/>
    <col min="2" max="2" width="14.7363636363636" style="16" customWidth="1"/>
    <col min="3" max="3" width="10.1545454545455" style="16"/>
    <col min="4" max="4" width="9.84545454545455" style="16"/>
    <col min="5" max="5" width="35.3818181818182" style="16" customWidth="1"/>
    <col min="6" max="8" width="9.84545454545455" style="16"/>
    <col min="9" max="9" width="124.836363636364" style="16" customWidth="1"/>
    <col min="10" max="16384" width="9.84545454545455" style="16"/>
  </cols>
  <sheetData>
    <row r="1" s="16" customFormat="1" spans="1:8">
      <c r="A1" s="16" t="s">
        <v>82</v>
      </c>
      <c r="B1" s="16" t="s">
        <v>154</v>
      </c>
      <c r="C1" s="16" t="s">
        <v>114</v>
      </c>
      <c r="D1" s="16" t="s">
        <v>171</v>
      </c>
      <c r="E1" s="16" t="s">
        <v>172</v>
      </c>
      <c r="H1" s="16" t="s">
        <v>173</v>
      </c>
    </row>
    <row r="2" s="16" customFormat="1" spans="1:9">
      <c r="A2" s="18" t="s">
        <v>40</v>
      </c>
      <c r="B2" s="23" t="s">
        <v>174</v>
      </c>
      <c r="C2" s="24">
        <v>0.0063</v>
      </c>
      <c r="D2" s="24">
        <v>0.0216</v>
      </c>
      <c r="E2" s="25">
        <v>0.00014</v>
      </c>
      <c r="H2" s="16" t="s">
        <v>175</v>
      </c>
      <c r="I2" s="16" t="s">
        <v>176</v>
      </c>
    </row>
    <row r="3" s="16" customFormat="1" spans="1:9">
      <c r="A3" s="18"/>
      <c r="B3" s="16" t="s">
        <v>177</v>
      </c>
      <c r="C3" s="26">
        <v>0.0113</v>
      </c>
      <c r="D3" s="26">
        <v>0.0276</v>
      </c>
      <c r="E3" s="27">
        <v>0.000312</v>
      </c>
      <c r="H3" s="16" t="s">
        <v>178</v>
      </c>
      <c r="I3" s="16" t="s">
        <v>179</v>
      </c>
    </row>
    <row r="4" s="16" customFormat="1" spans="1:9">
      <c r="A4" s="18"/>
      <c r="B4" s="16" t="s">
        <v>180</v>
      </c>
      <c r="C4" s="26">
        <v>0.0095</v>
      </c>
      <c r="D4" s="26">
        <v>0.0313</v>
      </c>
      <c r="E4" s="27">
        <v>0.000297</v>
      </c>
      <c r="H4" s="16" t="s">
        <v>175</v>
      </c>
      <c r="I4" s="16" t="s">
        <v>181</v>
      </c>
    </row>
    <row r="5" s="16" customFormat="1" spans="1:9">
      <c r="A5" s="18"/>
      <c r="B5" s="16" t="s">
        <v>182</v>
      </c>
      <c r="C5" s="26">
        <v>0.0085</v>
      </c>
      <c r="D5" s="26">
        <v>0.0306</v>
      </c>
      <c r="E5" s="27">
        <v>0.00026</v>
      </c>
      <c r="H5" s="16" t="s">
        <v>183</v>
      </c>
      <c r="I5" s="16" t="s">
        <v>184</v>
      </c>
    </row>
    <row r="6" s="16" customFormat="1" spans="1:9">
      <c r="A6" s="18"/>
      <c r="B6" s="16" t="s">
        <v>185</v>
      </c>
      <c r="C6" s="26">
        <v>0.0104</v>
      </c>
      <c r="D6" s="26">
        <v>0.0244</v>
      </c>
      <c r="E6" s="27">
        <v>0.000254</v>
      </c>
      <c r="H6" s="16" t="s">
        <v>186</v>
      </c>
      <c r="I6" s="16" t="s">
        <v>187</v>
      </c>
    </row>
    <row r="7" s="16" customFormat="1" ht="19" customHeight="1" spans="1:9">
      <c r="A7" s="18"/>
      <c r="B7" s="16" t="s">
        <v>178</v>
      </c>
      <c r="C7" s="26">
        <v>0.0091</v>
      </c>
      <c r="D7" s="26">
        <v>0.0144</v>
      </c>
      <c r="E7" s="27">
        <v>0.000131</v>
      </c>
      <c r="H7" s="16" t="s">
        <v>188</v>
      </c>
      <c r="I7" s="30" t="s">
        <v>189</v>
      </c>
    </row>
    <row r="8" s="16" customFormat="1" ht="19" customHeight="1" spans="1:9">
      <c r="A8" s="18"/>
      <c r="C8" s="26"/>
      <c r="D8" s="26"/>
      <c r="E8" s="27"/>
      <c r="I8" s="30"/>
    </row>
    <row r="9" spans="1:5">
      <c r="A9" s="18" t="s">
        <v>39</v>
      </c>
      <c r="B9" s="16" t="s">
        <v>177</v>
      </c>
      <c r="C9" s="28">
        <v>0.0194916873686222</v>
      </c>
      <c r="D9" s="28">
        <v>0.0266595857673925</v>
      </c>
      <c r="E9" s="29">
        <v>0.000581135449262405</v>
      </c>
    </row>
    <row r="10" spans="1:5">
      <c r="A10" s="18"/>
      <c r="B10" s="16" t="s">
        <v>190</v>
      </c>
      <c r="C10" s="28">
        <v>0.0127963869025216</v>
      </c>
      <c r="D10" s="28">
        <v>0.0288373161764706</v>
      </c>
      <c r="E10" s="27">
        <v>0.00040548970679975</v>
      </c>
    </row>
    <row r="11" hidden="1" spans="1:5">
      <c r="A11" s="18"/>
      <c r="B11" s="23" t="s">
        <v>191</v>
      </c>
      <c r="C11" s="26">
        <v>0.0104</v>
      </c>
      <c r="D11" s="26">
        <v>0.0199</v>
      </c>
      <c r="E11" s="27">
        <v>0.00026</v>
      </c>
    </row>
    <row r="12" spans="1:5">
      <c r="A12" s="18"/>
      <c r="B12" s="23" t="s">
        <v>192</v>
      </c>
      <c r="C12" s="24">
        <v>0.0102</v>
      </c>
      <c r="D12" s="24">
        <v>0.0251</v>
      </c>
      <c r="E12" s="25">
        <v>0.00026</v>
      </c>
    </row>
    <row r="13" customFormat="1" spans="1:5">
      <c r="A13" s="18"/>
      <c r="B13" s="23"/>
      <c r="C13" s="24"/>
      <c r="D13" s="24"/>
      <c r="E13" s="25"/>
    </row>
    <row r="14" s="16" customFormat="1" spans="1:5">
      <c r="A14" s="18" t="s">
        <v>89</v>
      </c>
      <c r="B14" s="16" t="s">
        <v>193</v>
      </c>
      <c r="C14" s="26">
        <v>0.014</v>
      </c>
      <c r="D14" s="26">
        <v>0.022</v>
      </c>
      <c r="E14" s="27">
        <v>0.00031</v>
      </c>
    </row>
    <row r="15" s="16" customFormat="1" spans="1:5">
      <c r="A15" s="18"/>
      <c r="B15" s="16" t="s">
        <v>194</v>
      </c>
      <c r="C15" s="26">
        <v>0.016</v>
      </c>
      <c r="D15" s="26">
        <v>0.02</v>
      </c>
      <c r="E15" s="27">
        <v>0.00032</v>
      </c>
    </row>
    <row r="16" s="16" customFormat="1" spans="1:5">
      <c r="A16" s="18"/>
      <c r="B16" s="23" t="s">
        <v>191</v>
      </c>
      <c r="C16" s="24">
        <v>0.015</v>
      </c>
      <c r="D16" s="24">
        <v>0.0085</v>
      </c>
      <c r="E16" s="25">
        <v>0.00013</v>
      </c>
    </row>
    <row r="17" s="16" customFormat="1" spans="8:9">
      <c r="H17" s="16" t="s">
        <v>195</v>
      </c>
      <c r="I17" s="16" t="s">
        <v>196</v>
      </c>
    </row>
    <row r="18" s="16" customFormat="1" spans="3:9">
      <c r="C18" s="26"/>
      <c r="D18" s="26"/>
      <c r="E18" s="26"/>
      <c r="H18" s="16" t="s">
        <v>195</v>
      </c>
      <c r="I18" s="16" t="s">
        <v>197</v>
      </c>
    </row>
    <row r="19" s="16" customFormat="1" spans="3:9">
      <c r="C19" s="26"/>
      <c r="D19" s="26"/>
      <c r="E19" s="26"/>
      <c r="H19" s="16" t="s">
        <v>195</v>
      </c>
      <c r="I19" s="16" t="s">
        <v>198</v>
      </c>
    </row>
    <row r="20" s="16" customFormat="1" spans="8:9">
      <c r="H20" s="16" t="s">
        <v>195</v>
      </c>
      <c r="I20" s="16" t="s">
        <v>199</v>
      </c>
    </row>
    <row r="21" s="16" customFormat="1" spans="8:9">
      <c r="H21" s="16" t="s">
        <v>195</v>
      </c>
      <c r="I21" s="30" t="s">
        <v>200</v>
      </c>
    </row>
    <row r="22" s="16" customFormat="1" spans="8:9">
      <c r="H22" s="16" t="s">
        <v>195</v>
      </c>
      <c r="I22" s="16" t="s">
        <v>201</v>
      </c>
    </row>
    <row r="23" s="16" customFormat="1" ht="15.5" spans="8:9">
      <c r="H23" s="16" t="s">
        <v>195</v>
      </c>
      <c r="I23" s="16" t="s">
        <v>202</v>
      </c>
    </row>
    <row r="24" s="16" customFormat="1" spans="8:9">
      <c r="H24" s="16" t="s">
        <v>195</v>
      </c>
      <c r="I24" s="16" t="s">
        <v>203</v>
      </c>
    </row>
    <row r="25" s="16" customFormat="1" spans="5:9">
      <c r="E25" s="28"/>
      <c r="H25" s="16" t="s">
        <v>195</v>
      </c>
      <c r="I25" s="16" t="s">
        <v>204</v>
      </c>
    </row>
    <row r="26" s="16" customFormat="1" spans="8:9">
      <c r="H26" s="16" t="s">
        <v>195</v>
      </c>
      <c r="I26" s="16" t="s">
        <v>205</v>
      </c>
    </row>
  </sheetData>
  <mergeCells count="3">
    <mergeCell ref="A2:A7"/>
    <mergeCell ref="A9:A12"/>
    <mergeCell ref="A14:A16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34" sqref="D34"/>
    </sheetView>
  </sheetViews>
  <sheetFormatPr defaultColWidth="9.84545454545455" defaultRowHeight="15" outlineLevelCol="6"/>
  <cols>
    <col min="1" max="1" width="14.9" style="16" customWidth="1"/>
    <col min="2" max="2" width="13.7818181818182" style="16" customWidth="1"/>
    <col min="3" max="3" width="23.3818181818182" style="16" customWidth="1"/>
    <col min="4" max="4" width="35.2545454545455" style="16" customWidth="1"/>
    <col min="5" max="5" width="79.1636363636364" style="16" customWidth="1"/>
    <col min="6" max="6" width="39.1090909090909" style="16" customWidth="1"/>
    <col min="7" max="7" width="46.7909090909091" style="16" customWidth="1"/>
    <col min="8" max="16384" width="9.84545454545455" style="16"/>
  </cols>
  <sheetData>
    <row r="1" ht="14" spans="1:7">
      <c r="A1" s="17" t="s">
        <v>154</v>
      </c>
      <c r="B1" s="17" t="s">
        <v>206</v>
      </c>
      <c r="C1" s="17"/>
      <c r="D1" s="17" t="s">
        <v>207</v>
      </c>
      <c r="E1" s="17" t="s">
        <v>208</v>
      </c>
      <c r="F1" s="17" t="s">
        <v>209</v>
      </c>
      <c r="G1" s="17" t="s">
        <v>210</v>
      </c>
    </row>
    <row r="2" spans="1:7">
      <c r="A2" s="18" t="s">
        <v>29</v>
      </c>
      <c r="B2" s="18" t="s">
        <v>211</v>
      </c>
      <c r="C2" s="18" t="s">
        <v>212</v>
      </c>
      <c r="D2" s="19" t="s">
        <v>213</v>
      </c>
      <c r="E2" s="20" t="s">
        <v>214</v>
      </c>
      <c r="F2" s="19" t="s">
        <v>215</v>
      </c>
      <c r="G2" s="20" t="s">
        <v>216</v>
      </c>
    </row>
    <row r="3" spans="1:7">
      <c r="A3" s="18"/>
      <c r="B3" s="18">
        <v>110</v>
      </c>
      <c r="C3" s="18" t="s">
        <v>28</v>
      </c>
      <c r="D3" s="21"/>
      <c r="E3" s="20"/>
      <c r="F3" s="19"/>
      <c r="G3" s="20"/>
    </row>
    <row r="4" spans="1:7">
      <c r="A4" s="18"/>
      <c r="B4" s="18">
        <v>130</v>
      </c>
      <c r="C4" s="18" t="s">
        <v>217</v>
      </c>
      <c r="D4" s="21"/>
      <c r="E4" s="20"/>
      <c r="F4" s="19"/>
      <c r="G4" s="20"/>
    </row>
    <row r="5" spans="1:7">
      <c r="A5" s="18"/>
      <c r="B5" s="18">
        <v>140</v>
      </c>
      <c r="C5" s="18" t="s">
        <v>218</v>
      </c>
      <c r="D5" s="21"/>
      <c r="E5" s="20"/>
      <c r="F5" s="19"/>
      <c r="G5" s="20"/>
    </row>
    <row r="6" spans="1:7">
      <c r="A6" s="18"/>
      <c r="B6" s="18">
        <v>150</v>
      </c>
      <c r="C6" s="18" t="s">
        <v>219</v>
      </c>
      <c r="D6" s="21"/>
      <c r="E6" s="20"/>
      <c r="F6" s="19"/>
      <c r="G6" s="20"/>
    </row>
    <row r="7" spans="1:7">
      <c r="A7" s="18"/>
      <c r="B7" s="18">
        <v>170</v>
      </c>
      <c r="C7" s="18" t="s">
        <v>220</v>
      </c>
      <c r="D7" s="21"/>
      <c r="E7" s="20"/>
      <c r="F7" s="19"/>
      <c r="G7" s="20"/>
    </row>
    <row r="8" spans="1:7">
      <c r="A8" s="18"/>
      <c r="B8" s="18">
        <v>180</v>
      </c>
      <c r="C8" s="18" t="s">
        <v>221</v>
      </c>
      <c r="D8" s="21"/>
      <c r="E8" s="20"/>
      <c r="F8" s="19"/>
      <c r="G8" s="20"/>
    </row>
    <row r="9" ht="14" spans="1:7">
      <c r="A9" s="18" t="s">
        <v>27</v>
      </c>
      <c r="B9" s="19" t="s">
        <v>222</v>
      </c>
      <c r="C9" s="19"/>
      <c r="D9" s="19" t="s">
        <v>223</v>
      </c>
      <c r="E9" s="22" t="s">
        <v>224</v>
      </c>
      <c r="F9" s="19" t="s">
        <v>225</v>
      </c>
      <c r="G9" s="19"/>
    </row>
    <row r="10" ht="14" spans="1:7">
      <c r="A10" s="18"/>
      <c r="B10" s="19"/>
      <c r="C10" s="19"/>
      <c r="D10" s="19"/>
      <c r="E10" s="22" t="s">
        <v>226</v>
      </c>
      <c r="F10" s="19"/>
      <c r="G10" s="19"/>
    </row>
    <row r="11" ht="14" spans="1:7">
      <c r="A11" s="18"/>
      <c r="B11" s="19"/>
      <c r="C11" s="19"/>
      <c r="D11" s="19"/>
      <c r="E11" s="22" t="s">
        <v>227</v>
      </c>
      <c r="F11" s="19"/>
      <c r="G11" s="19"/>
    </row>
    <row r="12" ht="14" spans="1:7">
      <c r="A12" s="18"/>
      <c r="B12" s="19"/>
      <c r="C12" s="19"/>
      <c r="D12" s="19"/>
      <c r="E12" s="22" t="s">
        <v>228</v>
      </c>
      <c r="F12" s="19"/>
      <c r="G12" s="19"/>
    </row>
    <row r="13" ht="14" spans="1:7">
      <c r="A13" s="18"/>
      <c r="B13" s="19"/>
      <c r="C13" s="19"/>
      <c r="D13" s="19"/>
      <c r="E13" s="22" t="s">
        <v>229</v>
      </c>
      <c r="F13" s="19"/>
      <c r="G13" s="19"/>
    </row>
  </sheetData>
  <mergeCells count="10">
    <mergeCell ref="A2:A8"/>
    <mergeCell ref="A9:A13"/>
    <mergeCell ref="D2:D8"/>
    <mergeCell ref="D9:D13"/>
    <mergeCell ref="E2:E8"/>
    <mergeCell ref="F2:F8"/>
    <mergeCell ref="F9:F13"/>
    <mergeCell ref="G2:G8"/>
    <mergeCell ref="G9:G13"/>
    <mergeCell ref="B9:C13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25"/>
  <sheetViews>
    <sheetView zoomScale="125" zoomScaleNormal="125" workbookViewId="0">
      <selection activeCell="H1" sqref="H1"/>
    </sheetView>
  </sheetViews>
  <sheetFormatPr defaultColWidth="9.69090909090909" defaultRowHeight="15"/>
  <cols>
    <col min="1" max="1" width="5.2" style="2" customWidth="1"/>
    <col min="2" max="3" width="9.69090909090909" style="2"/>
    <col min="4" max="5" width="13.6363636363636" style="2"/>
    <col min="6" max="6" width="13.4636363636364" style="2" customWidth="1"/>
    <col min="7" max="20" width="9.69090909090909" style="2"/>
    <col min="21" max="21" width="9.69090909090909" style="3"/>
    <col min="22" max="22" width="6.9" style="3" customWidth="1"/>
    <col min="23" max="24" width="9.69090909090909" style="3"/>
    <col min="25" max="25" width="13.4636363636364" style="3" customWidth="1"/>
    <col min="26" max="27" width="9.69090909090909" style="3"/>
    <col min="28" max="28" width="16.5090909090909" style="3" customWidth="1"/>
    <col min="29" max="29" width="9.69090909090909" style="3"/>
    <col min="30" max="256" width="9.69090909090909" style="2"/>
    <col min="257" max="16384" width="9.69090909090909" style="4"/>
  </cols>
  <sheetData>
    <row r="1" s="1" customFormat="1" ht="40" customHeight="1" spans="2:29">
      <c r="B1" s="5" t="s">
        <v>230</v>
      </c>
      <c r="U1" s="13"/>
      <c r="V1" s="13"/>
      <c r="W1" s="13"/>
      <c r="X1" s="13"/>
      <c r="Y1" s="13"/>
      <c r="Z1" s="13"/>
      <c r="AA1" s="13"/>
      <c r="AB1" s="13"/>
      <c r="AC1" s="13"/>
    </row>
    <row r="2" ht="43.5" spans="2:29">
      <c r="B2" s="6" t="s">
        <v>231</v>
      </c>
      <c r="C2" s="7" t="s">
        <v>232</v>
      </c>
      <c r="D2" s="6" t="s">
        <v>233</v>
      </c>
      <c r="E2" s="6" t="s">
        <v>234</v>
      </c>
      <c r="F2" s="6" t="s">
        <v>235</v>
      </c>
      <c r="G2" s="6" t="s">
        <v>236</v>
      </c>
      <c r="U2" s="3" t="s">
        <v>231</v>
      </c>
      <c r="V2" s="3" t="s">
        <v>237</v>
      </c>
      <c r="W2" s="3" t="s">
        <v>238</v>
      </c>
      <c r="X2" s="3" t="s">
        <v>234</v>
      </c>
      <c r="Y2" s="3" t="s">
        <v>235</v>
      </c>
      <c r="Z2" s="3" t="s">
        <v>236</v>
      </c>
      <c r="AB2" s="3" t="s">
        <v>231</v>
      </c>
      <c r="AC2" s="3" t="s">
        <v>80</v>
      </c>
    </row>
    <row r="3" spans="2:29">
      <c r="B3" s="8" t="s">
        <v>239</v>
      </c>
      <c r="C3" s="9">
        <v>21</v>
      </c>
      <c r="D3" s="10">
        <f>W3/$V$3</f>
        <v>0.666666666666667</v>
      </c>
      <c r="E3" s="10">
        <f>X3/$V$3</f>
        <v>0.333333333333333</v>
      </c>
      <c r="F3" s="10" t="s">
        <v>28</v>
      </c>
      <c r="G3" s="10" t="s">
        <v>28</v>
      </c>
      <c r="U3" s="3" t="s">
        <v>239</v>
      </c>
      <c r="V3" s="3">
        <f t="shared" ref="V3:V12" si="0">C3</f>
        <v>21</v>
      </c>
      <c r="W3" s="3">
        <v>14</v>
      </c>
      <c r="X3" s="3">
        <v>7</v>
      </c>
      <c r="Y3" s="3" t="s">
        <v>28</v>
      </c>
      <c r="Z3" s="3" t="s">
        <v>28</v>
      </c>
      <c r="AB3" s="3" t="s">
        <v>233</v>
      </c>
      <c r="AC3" s="15">
        <f>D13</f>
        <v>0.615384615384615</v>
      </c>
    </row>
    <row r="4" spans="2:29">
      <c r="B4" s="8" t="s">
        <v>240</v>
      </c>
      <c r="C4" s="9">
        <v>13</v>
      </c>
      <c r="D4" s="10">
        <f>W4/$V$4</f>
        <v>0.538461538461538</v>
      </c>
      <c r="E4" s="10">
        <f>X4/$V$4</f>
        <v>0.384615384615385</v>
      </c>
      <c r="F4" s="10" t="s">
        <v>28</v>
      </c>
      <c r="G4" s="10" t="s">
        <v>28</v>
      </c>
      <c r="U4" s="3" t="s">
        <v>240</v>
      </c>
      <c r="V4" s="3">
        <f t="shared" si="0"/>
        <v>13</v>
      </c>
      <c r="W4" s="3">
        <v>7</v>
      </c>
      <c r="X4" s="3">
        <v>5</v>
      </c>
      <c r="Y4" s="3">
        <v>1</v>
      </c>
      <c r="Z4" s="3" t="s">
        <v>28</v>
      </c>
      <c r="AB4" s="3" t="s">
        <v>234</v>
      </c>
      <c r="AC4" s="15">
        <f>E13</f>
        <v>0.307692307692308</v>
      </c>
    </row>
    <row r="5" spans="2:29">
      <c r="B5" s="8" t="s">
        <v>241</v>
      </c>
      <c r="C5" s="9">
        <v>7</v>
      </c>
      <c r="D5" s="10">
        <f>W5/$V$5</f>
        <v>0.857142857142857</v>
      </c>
      <c r="E5" s="10" t="s">
        <v>28</v>
      </c>
      <c r="F5" s="10"/>
      <c r="G5" s="10" t="s">
        <v>28</v>
      </c>
      <c r="U5" s="3" t="s">
        <v>241</v>
      </c>
      <c r="V5" s="3">
        <f t="shared" si="0"/>
        <v>7</v>
      </c>
      <c r="W5" s="3">
        <v>6</v>
      </c>
      <c r="X5" s="3" t="s">
        <v>28</v>
      </c>
      <c r="Y5" s="3">
        <v>1</v>
      </c>
      <c r="Z5" s="3" t="s">
        <v>28</v>
      </c>
      <c r="AB5" s="3" t="s">
        <v>235</v>
      </c>
      <c r="AC5" s="15">
        <f>F13</f>
        <v>0.0615384615384615</v>
      </c>
    </row>
    <row r="6" spans="2:29">
      <c r="B6" s="8" t="s">
        <v>242</v>
      </c>
      <c r="C6" s="9">
        <v>7</v>
      </c>
      <c r="D6" s="10">
        <f t="shared" ref="D6:G6" si="1">W6/$V$6</f>
        <v>0.571428571428571</v>
      </c>
      <c r="E6" s="10">
        <f t="shared" si="1"/>
        <v>0.285714285714286</v>
      </c>
      <c r="F6" s="10" t="s">
        <v>28</v>
      </c>
      <c r="G6" s="10">
        <f t="shared" si="1"/>
        <v>0.142857142857143</v>
      </c>
      <c r="U6" s="3" t="s">
        <v>242</v>
      </c>
      <c r="V6" s="3">
        <f t="shared" si="0"/>
        <v>7</v>
      </c>
      <c r="W6" s="3">
        <v>4</v>
      </c>
      <c r="X6" s="3">
        <v>2</v>
      </c>
      <c r="Y6" s="3" t="s">
        <v>28</v>
      </c>
      <c r="Z6" s="3">
        <v>1</v>
      </c>
      <c r="AB6" s="3" t="s">
        <v>236</v>
      </c>
      <c r="AC6" s="15">
        <f>G13</f>
        <v>0.0153846153846154</v>
      </c>
    </row>
    <row r="7" spans="2:26">
      <c r="B7" s="8" t="s">
        <v>243</v>
      </c>
      <c r="C7" s="9">
        <v>8</v>
      </c>
      <c r="D7" s="10">
        <f t="shared" ref="D7:F7" si="2">W7/$V$7</f>
        <v>0.5</v>
      </c>
      <c r="E7" s="10">
        <f t="shared" si="2"/>
        <v>0.375</v>
      </c>
      <c r="F7" s="10">
        <f t="shared" si="2"/>
        <v>0.125</v>
      </c>
      <c r="G7" s="10" t="s">
        <v>28</v>
      </c>
      <c r="U7" s="3" t="s">
        <v>243</v>
      </c>
      <c r="V7" s="3">
        <f t="shared" si="0"/>
        <v>8</v>
      </c>
      <c r="W7" s="3">
        <v>4</v>
      </c>
      <c r="X7" s="3">
        <v>3</v>
      </c>
      <c r="Y7" s="3">
        <v>1</v>
      </c>
      <c r="Z7" s="3" t="s">
        <v>28</v>
      </c>
    </row>
    <row r="8" spans="2:26">
      <c r="B8" s="8" t="s">
        <v>244</v>
      </c>
      <c r="C8" s="9">
        <v>2</v>
      </c>
      <c r="D8" s="10">
        <f>W8/$V$8</f>
        <v>0.5</v>
      </c>
      <c r="E8" s="10" t="s">
        <v>28</v>
      </c>
      <c r="F8" s="10">
        <f>Y8/$V$8</f>
        <v>0.5</v>
      </c>
      <c r="G8" s="10" t="s">
        <v>28</v>
      </c>
      <c r="U8" s="3" t="s">
        <v>244</v>
      </c>
      <c r="V8" s="3">
        <f t="shared" si="0"/>
        <v>2</v>
      </c>
      <c r="W8" s="3">
        <v>1</v>
      </c>
      <c r="X8" s="3" t="s">
        <v>28</v>
      </c>
      <c r="Y8" s="3">
        <v>1</v>
      </c>
      <c r="Z8" s="3" t="s">
        <v>28</v>
      </c>
    </row>
    <row r="9" spans="2:26">
      <c r="B9" s="8" t="s">
        <v>245</v>
      </c>
      <c r="C9" s="9">
        <v>2</v>
      </c>
      <c r="D9" s="10">
        <f>W9/$V$9</f>
        <v>1</v>
      </c>
      <c r="E9" s="10" t="s">
        <v>28</v>
      </c>
      <c r="F9" s="10" t="s">
        <v>28</v>
      </c>
      <c r="G9" s="10" t="s">
        <v>28</v>
      </c>
      <c r="U9" s="3" t="s">
        <v>245</v>
      </c>
      <c r="V9" s="3">
        <f t="shared" si="0"/>
        <v>2</v>
      </c>
      <c r="W9" s="3">
        <v>2</v>
      </c>
      <c r="X9" s="3" t="s">
        <v>28</v>
      </c>
      <c r="Y9" s="3" t="s">
        <v>28</v>
      </c>
      <c r="Z9" s="3" t="s">
        <v>28</v>
      </c>
    </row>
    <row r="10" spans="2:26">
      <c r="B10" s="8" t="s">
        <v>246</v>
      </c>
      <c r="C10" s="9">
        <v>2</v>
      </c>
      <c r="D10" s="10">
        <f>W10/$V$10</f>
        <v>0.5</v>
      </c>
      <c r="E10" s="10">
        <f>X10/$V$10</f>
        <v>0.5</v>
      </c>
      <c r="F10" s="10" t="s">
        <v>28</v>
      </c>
      <c r="G10" s="10" t="s">
        <v>28</v>
      </c>
      <c r="U10" s="3" t="s">
        <v>246</v>
      </c>
      <c r="V10" s="3">
        <f t="shared" si="0"/>
        <v>2</v>
      </c>
      <c r="W10" s="3">
        <v>1</v>
      </c>
      <c r="X10" s="3">
        <v>1</v>
      </c>
      <c r="Y10" s="3" t="s">
        <v>28</v>
      </c>
      <c r="Z10" s="3" t="s">
        <v>28</v>
      </c>
    </row>
    <row r="11" spans="2:26">
      <c r="B11" s="8" t="s">
        <v>247</v>
      </c>
      <c r="C11" s="9">
        <v>1</v>
      </c>
      <c r="D11" s="10" t="s">
        <v>28</v>
      </c>
      <c r="E11" s="10">
        <f>X11/$V$11</f>
        <v>1</v>
      </c>
      <c r="F11" s="10" t="s">
        <v>28</v>
      </c>
      <c r="G11" s="10" t="s">
        <v>28</v>
      </c>
      <c r="U11" s="3" t="s">
        <v>247</v>
      </c>
      <c r="V11" s="3">
        <f t="shared" si="0"/>
        <v>1</v>
      </c>
      <c r="W11" s="3" t="s">
        <v>28</v>
      </c>
      <c r="X11" s="3">
        <v>1</v>
      </c>
      <c r="Y11" s="3" t="s">
        <v>28</v>
      </c>
      <c r="Z11" s="3" t="s">
        <v>28</v>
      </c>
    </row>
    <row r="12" spans="2:26">
      <c r="B12" s="8" t="s">
        <v>248</v>
      </c>
      <c r="C12" s="9">
        <v>2</v>
      </c>
      <c r="D12" s="10">
        <f>W12/$V$12</f>
        <v>0.5</v>
      </c>
      <c r="E12" s="10">
        <f>X12/$V$12</f>
        <v>0.5</v>
      </c>
      <c r="F12" s="10" t="s">
        <v>28</v>
      </c>
      <c r="G12" s="10" t="s">
        <v>28</v>
      </c>
      <c r="U12" s="3" t="s">
        <v>248</v>
      </c>
      <c r="V12" s="3">
        <f t="shared" si="0"/>
        <v>2</v>
      </c>
      <c r="W12" s="3">
        <v>1</v>
      </c>
      <c r="X12" s="3">
        <v>1</v>
      </c>
      <c r="Y12" s="3" t="s">
        <v>28</v>
      </c>
      <c r="Z12" s="3" t="s">
        <v>28</v>
      </c>
    </row>
    <row r="13" spans="2:26">
      <c r="B13" s="11" t="s">
        <v>80</v>
      </c>
      <c r="C13" s="11">
        <f>SUM(C3:C12)</f>
        <v>65</v>
      </c>
      <c r="D13" s="12">
        <f t="shared" ref="D13:G13" si="3">W13/$V$13</f>
        <v>0.615384615384615</v>
      </c>
      <c r="E13" s="12">
        <f t="shared" si="3"/>
        <v>0.307692307692308</v>
      </c>
      <c r="F13" s="12">
        <f t="shared" si="3"/>
        <v>0.0615384615384615</v>
      </c>
      <c r="G13" s="12">
        <f t="shared" si="3"/>
        <v>0.0153846153846154</v>
      </c>
      <c r="U13" s="3" t="s">
        <v>80</v>
      </c>
      <c r="V13" s="3">
        <f t="shared" ref="V13:Z13" si="4">SUM(V3:V12)</f>
        <v>65</v>
      </c>
      <c r="W13" s="3">
        <f t="shared" si="4"/>
        <v>40</v>
      </c>
      <c r="X13" s="3">
        <f t="shared" si="4"/>
        <v>20</v>
      </c>
      <c r="Y13" s="3">
        <f t="shared" si="4"/>
        <v>4</v>
      </c>
      <c r="Z13" s="3">
        <f t="shared" si="4"/>
        <v>1</v>
      </c>
    </row>
    <row r="16" spans="21:25">
      <c r="U16" s="14" t="s">
        <v>249</v>
      </c>
      <c r="Y16" s="3" t="s">
        <v>250</v>
      </c>
    </row>
    <row r="18" spans="21:27">
      <c r="U18" s="3" t="s">
        <v>88</v>
      </c>
      <c r="V18" s="3" t="s">
        <v>137</v>
      </c>
      <c r="W18" s="3" t="s">
        <v>251</v>
      </c>
      <c r="Y18" s="3" t="s">
        <v>88</v>
      </c>
      <c r="Z18" s="3" t="s">
        <v>137</v>
      </c>
      <c r="AA18" s="3" t="s">
        <v>251</v>
      </c>
    </row>
    <row r="19" spans="21:27">
      <c r="U19" s="3" t="s">
        <v>252</v>
      </c>
      <c r="V19" s="15">
        <f t="shared" ref="V19:V24" si="5">W19/$W$25</f>
        <v>0.425</v>
      </c>
      <c r="W19" s="3">
        <v>17</v>
      </c>
      <c r="Y19" s="3" t="s">
        <v>253</v>
      </c>
      <c r="Z19" s="15">
        <f t="shared" ref="Z19:Z23" si="6">AA19/$AA$24</f>
        <v>0.3</v>
      </c>
      <c r="AA19" s="3">
        <v>6</v>
      </c>
    </row>
    <row r="20" spans="21:27">
      <c r="U20" s="3" t="s">
        <v>254</v>
      </c>
      <c r="V20" s="15">
        <f t="shared" si="5"/>
        <v>0.275</v>
      </c>
      <c r="W20" s="3">
        <v>11</v>
      </c>
      <c r="Y20" s="3" t="s">
        <v>255</v>
      </c>
      <c r="Z20" s="15">
        <f t="shared" si="6"/>
        <v>0.3</v>
      </c>
      <c r="AA20" s="3">
        <v>6</v>
      </c>
    </row>
    <row r="21" spans="21:27">
      <c r="U21" s="3" t="s">
        <v>256</v>
      </c>
      <c r="V21" s="15">
        <f t="shared" si="5"/>
        <v>0.15</v>
      </c>
      <c r="W21" s="3">
        <v>6</v>
      </c>
      <c r="Y21" s="3" t="s">
        <v>257</v>
      </c>
      <c r="Z21" s="15">
        <f t="shared" si="6"/>
        <v>0.15</v>
      </c>
      <c r="AA21" s="3">
        <v>3</v>
      </c>
    </row>
    <row r="22" spans="21:27">
      <c r="U22" s="3" t="s">
        <v>258</v>
      </c>
      <c r="V22" s="15">
        <f t="shared" si="5"/>
        <v>0.05</v>
      </c>
      <c r="W22" s="3">
        <v>2</v>
      </c>
      <c r="Y22" s="3" t="s">
        <v>259</v>
      </c>
      <c r="Z22" s="15">
        <f t="shared" si="6"/>
        <v>0.1</v>
      </c>
      <c r="AA22" s="3">
        <v>2</v>
      </c>
    </row>
    <row r="23" spans="21:27">
      <c r="U23" s="3" t="s">
        <v>260</v>
      </c>
      <c r="V23" s="15">
        <f t="shared" si="5"/>
        <v>0.025</v>
      </c>
      <c r="W23" s="3">
        <v>1</v>
      </c>
      <c r="Y23" s="3" t="s">
        <v>261</v>
      </c>
      <c r="Z23" s="15">
        <f t="shared" si="6"/>
        <v>0.15</v>
      </c>
      <c r="AA23" s="3">
        <v>3</v>
      </c>
    </row>
    <row r="24" spans="21:27">
      <c r="U24" s="3" t="s">
        <v>262</v>
      </c>
      <c r="V24" s="15">
        <f t="shared" si="5"/>
        <v>0.075</v>
      </c>
      <c r="W24" s="3">
        <v>3</v>
      </c>
      <c r="Y24" s="3" t="s">
        <v>80</v>
      </c>
      <c r="Z24" s="3">
        <f>SUM(Z19:Z23)</f>
        <v>1</v>
      </c>
      <c r="AA24" s="3">
        <f>SUM(AA19:AA23)</f>
        <v>20</v>
      </c>
    </row>
    <row r="25" spans="21:23">
      <c r="U25" s="3" t="s">
        <v>80</v>
      </c>
      <c r="V25" s="15">
        <f>SUM(V19:V24)</f>
        <v>1</v>
      </c>
      <c r="W25" s="3">
        <f>SUM(W19:W24)</f>
        <v>40</v>
      </c>
    </row>
  </sheetData>
  <pageMargins left="0.75" right="0.75" top="1" bottom="1" header="0.510416666666667" footer="0.510416666666667"/>
  <pageSetup paperSize="9" orientation="portrait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BD目标</vt:lpstr>
      <vt:lpstr>周例会短险分渠道</vt:lpstr>
      <vt:lpstr>周例会赠险分渠道</vt:lpstr>
      <vt:lpstr>互动渠道</vt:lpstr>
      <vt:lpstr>竟品数据</vt:lpstr>
      <vt:lpstr>阶梯单价</vt:lpstr>
      <vt:lpstr>跟进进度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橡子茶</cp:lastModifiedBy>
  <dcterms:created xsi:type="dcterms:W3CDTF">2020-11-11T03:24:00Z</dcterms:created>
  <dcterms:modified xsi:type="dcterms:W3CDTF">2020-12-28T04:06:20Z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  <property fmtid="{D5CDD505-2E9C-101B-9397-08002B2CF9AE}" pid="3" name="CWMe87ddb00c87f11f18000032600000226">
    <vt:lpwstr>CWMVtlS4hO2DgaOjQ9kxPFcLqwbOGD+gT4K0itGH9OheFBZ0lPiufudT0JruF2z7dKAO+qaS4AQCBt2be5pttMlpw==</vt:lpwstr>
  </property>
</Properties>
</file>